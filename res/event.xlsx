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https://example.invalid/workbook"/>
    </mc:Choice>
  </mc:AlternateContent>
  <xr:revisionPtr revIDLastSave="0" documentId="sanitized-document-id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vent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event!$M$1:$M$523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64" i="1" l="1"/>
  <c r="M763" i="1"/>
  <c r="M762" i="1"/>
  <c r="M761" i="1"/>
  <c r="M760" i="1"/>
  <c r="M759" i="1"/>
  <c r="L759" i="1"/>
  <c r="M758" i="1"/>
  <c r="M757" i="1"/>
  <c r="M756" i="1"/>
  <c r="M755" i="1"/>
  <c r="M754" i="1"/>
  <c r="M753" i="1"/>
  <c r="M752" i="1"/>
  <c r="M751" i="1"/>
  <c r="M750" i="1"/>
  <c r="M749" i="1"/>
  <c r="L749" i="1"/>
  <c r="M748" i="1"/>
  <c r="M747" i="1"/>
  <c r="M746" i="1"/>
  <c r="M745" i="1"/>
  <c r="M744" i="1"/>
  <c r="L743" i="1"/>
  <c r="M743" i="1" s="1"/>
  <c r="M742" i="1"/>
  <c r="M741" i="1"/>
  <c r="M740" i="1"/>
  <c r="M739" i="1"/>
  <c r="M738" i="1"/>
  <c r="M737" i="1"/>
  <c r="L736" i="1"/>
  <c r="M736" i="1" s="1"/>
  <c r="M735" i="1"/>
  <c r="L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L679" i="1"/>
  <c r="M678" i="1"/>
  <c r="L677" i="1"/>
  <c r="M677" i="1" s="1"/>
  <c r="L676" i="1"/>
  <c r="M676" i="1" s="1"/>
  <c r="M675" i="1"/>
  <c r="L674" i="1"/>
  <c r="M674" i="1" s="1"/>
  <c r="M673" i="1"/>
  <c r="L672" i="1"/>
  <c r="M672" i="1" s="1"/>
  <c r="L671" i="1"/>
  <c r="M671" i="1" s="1"/>
  <c r="M670" i="1"/>
  <c r="L669" i="1"/>
  <c r="M669" i="1" s="1"/>
  <c r="M668" i="1"/>
  <c r="M667" i="1"/>
  <c r="L667" i="1"/>
  <c r="M666" i="1"/>
  <c r="M665" i="1"/>
  <c r="L664" i="1"/>
  <c r="M664" i="1" s="1"/>
  <c r="L663" i="1"/>
  <c r="M663" i="1" s="1"/>
  <c r="M662" i="1"/>
  <c r="L662" i="1"/>
  <c r="M661" i="1"/>
  <c r="M660" i="1"/>
  <c r="L660" i="1"/>
  <c r="M659" i="1"/>
  <c r="L658" i="1"/>
  <c r="M658" i="1" s="1"/>
  <c r="M657" i="1"/>
  <c r="L657" i="1"/>
  <c r="M656" i="1"/>
  <c r="L655" i="1"/>
  <c r="M655" i="1" s="1"/>
  <c r="L654" i="1"/>
  <c r="M654" i="1" s="1"/>
  <c r="M653" i="1"/>
  <c r="M652" i="1"/>
  <c r="L652" i="1"/>
  <c r="M651" i="1"/>
  <c r="M650" i="1"/>
  <c r="M649" i="1"/>
  <c r="M648" i="1"/>
  <c r="M647" i="1"/>
  <c r="M646" i="1"/>
  <c r="M645" i="1"/>
  <c r="L645" i="1"/>
  <c r="L644" i="1"/>
  <c r="M644" i="1" s="1"/>
  <c r="M643" i="1"/>
  <c r="L643" i="1"/>
  <c r="L642" i="1"/>
  <c r="M642" i="1" s="1"/>
  <c r="L641" i="1"/>
  <c r="M641" i="1" s="1"/>
  <c r="L640" i="1"/>
  <c r="M640" i="1" s="1"/>
  <c r="L639" i="1"/>
  <c r="M639" i="1" s="1"/>
  <c r="M638" i="1"/>
  <c r="M637" i="1"/>
  <c r="M636" i="1"/>
  <c r="M635" i="1"/>
  <c r="L634" i="1"/>
  <c r="M634" i="1" s="1"/>
  <c r="M633" i="1"/>
  <c r="L633" i="1"/>
  <c r="M632" i="1"/>
  <c r="M631" i="1"/>
  <c r="M630" i="1"/>
  <c r="L630" i="1"/>
  <c r="M629" i="1"/>
  <c r="L629" i="1"/>
  <c r="L628" i="1"/>
  <c r="M628" i="1" s="1"/>
  <c r="M627" i="1"/>
  <c r="M626" i="1"/>
  <c r="L625" i="1"/>
  <c r="M625" i="1" s="1"/>
  <c r="L624" i="1"/>
  <c r="M624" i="1" s="1"/>
  <c r="M623" i="1"/>
  <c r="L622" i="1"/>
  <c r="M622" i="1" s="1"/>
  <c r="M620" i="1"/>
  <c r="L620" i="1"/>
  <c r="L619" i="1"/>
  <c r="M619" i="1" s="1"/>
  <c r="L618" i="1"/>
  <c r="M618" i="1" s="1"/>
  <c r="M617" i="1"/>
  <c r="M616" i="1"/>
  <c r="L616" i="1"/>
  <c r="M615" i="1"/>
  <c r="L615" i="1"/>
  <c r="M614" i="1"/>
  <c r="L613" i="1"/>
  <c r="M613" i="1" s="1"/>
  <c r="M612" i="1"/>
  <c r="L612" i="1"/>
  <c r="M611" i="1"/>
  <c r="M610" i="1"/>
  <c r="L610" i="1"/>
  <c r="L609" i="1"/>
  <c r="M609" i="1" s="1"/>
  <c r="M608" i="1"/>
  <c r="L608" i="1"/>
  <c r="M607" i="1"/>
  <c r="M606" i="1"/>
  <c r="M605" i="1"/>
  <c r="M604" i="1"/>
  <c r="M603" i="1"/>
  <c r="M602" i="1"/>
  <c r="M601" i="1"/>
  <c r="M600" i="1"/>
  <c r="M599" i="1"/>
  <c r="L599" i="1"/>
  <c r="L598" i="1"/>
  <c r="M598" i="1" s="1"/>
  <c r="L597" i="1"/>
  <c r="M597" i="1" s="1"/>
  <c r="M596" i="1"/>
  <c r="L596" i="1"/>
  <c r="M595" i="1"/>
  <c r="M594" i="1"/>
  <c r="L594" i="1"/>
  <c r="L593" i="1"/>
  <c r="M593" i="1" s="1"/>
  <c r="M592" i="1"/>
  <c r="L592" i="1"/>
  <c r="L591" i="1"/>
  <c r="M591" i="1" s="1"/>
  <c r="L590" i="1"/>
  <c r="M590" i="1" s="1"/>
  <c r="L589" i="1"/>
  <c r="M589" i="1" s="1"/>
  <c r="L588" i="1"/>
  <c r="M588" i="1" s="1"/>
  <c r="M587" i="1"/>
  <c r="L586" i="1"/>
  <c r="M586" i="1" s="1"/>
  <c r="M585" i="1"/>
  <c r="L584" i="1"/>
  <c r="M584" i="1" s="1"/>
  <c r="M583" i="1"/>
  <c r="L583" i="1"/>
  <c r="L582" i="1"/>
  <c r="M582" i="1" s="1"/>
  <c r="L581" i="1"/>
  <c r="M581" i="1" s="1"/>
  <c r="M580" i="1"/>
  <c r="M579" i="1"/>
  <c r="L578" i="1"/>
  <c r="M578" i="1" s="1"/>
  <c r="L577" i="1"/>
  <c r="M577" i="1" s="1"/>
  <c r="L576" i="1"/>
  <c r="M576" i="1" s="1"/>
  <c r="M575" i="1"/>
  <c r="L575" i="1"/>
  <c r="L574" i="1"/>
  <c r="M574" i="1" s="1"/>
  <c r="L573" i="1"/>
  <c r="M573" i="1" s="1"/>
  <c r="M572" i="1"/>
  <c r="M570" i="1"/>
  <c r="L570" i="1"/>
  <c r="L569" i="1"/>
  <c r="M569" i="1" s="1"/>
  <c r="M568" i="1"/>
  <c r="L568" i="1"/>
  <c r="M567" i="1"/>
  <c r="L567" i="1"/>
  <c r="M566" i="1"/>
  <c r="M565" i="1"/>
  <c r="M564" i="1"/>
  <c r="L564" i="1"/>
  <c r="L563" i="1"/>
  <c r="M563" i="1" s="1"/>
  <c r="L562" i="1"/>
  <c r="M562" i="1" s="1"/>
  <c r="M561" i="1"/>
  <c r="L561" i="1"/>
  <c r="L560" i="1"/>
  <c r="M560" i="1" s="1"/>
  <c r="M559" i="1"/>
  <c r="L559" i="1"/>
  <c r="M558" i="1"/>
  <c r="L558" i="1"/>
  <c r="M557" i="1"/>
  <c r="M556" i="1"/>
  <c r="M555" i="1"/>
  <c r="L554" i="1"/>
  <c r="M554" i="1" s="1"/>
  <c r="M553" i="1"/>
  <c r="M552" i="1"/>
  <c r="L552" i="1"/>
  <c r="L551" i="1"/>
  <c r="M551" i="1" s="1"/>
  <c r="L550" i="1"/>
  <c r="M550" i="1" s="1"/>
  <c r="M549" i="1"/>
  <c r="L549" i="1"/>
  <c r="L548" i="1"/>
  <c r="M548" i="1" s="1"/>
  <c r="M547" i="1"/>
  <c r="M546" i="1"/>
  <c r="L545" i="1"/>
  <c r="M545" i="1" s="1"/>
  <c r="M544" i="1"/>
  <c r="L544" i="1"/>
  <c r="M543" i="1"/>
  <c r="L543" i="1"/>
  <c r="M542" i="1"/>
  <c r="L542" i="1"/>
  <c r="M541" i="1"/>
  <c r="M540" i="1"/>
  <c r="M539" i="1"/>
  <c r="M538" i="1"/>
  <c r="L538" i="1"/>
  <c r="M537" i="1"/>
  <c r="M536" i="1"/>
  <c r="L536" i="1"/>
  <c r="M535" i="1"/>
  <c r="M534" i="1"/>
  <c r="M533" i="1"/>
  <c r="L532" i="1"/>
  <c r="M532" i="1" s="1"/>
  <c r="M531" i="1"/>
  <c r="M530" i="1"/>
  <c r="L530" i="1"/>
  <c r="M529" i="1"/>
  <c r="M528" i="1"/>
  <c r="M527" i="1"/>
  <c r="L526" i="1"/>
  <c r="M526" i="1" s="1"/>
  <c r="L525" i="1"/>
  <c r="M525" i="1" s="1"/>
  <c r="P511" i="1"/>
  <c r="M511" i="1"/>
  <c r="P510" i="1"/>
  <c r="M510" i="1"/>
  <c r="P509" i="1"/>
  <c r="M509" i="1"/>
  <c r="P508" i="1"/>
  <c r="M508" i="1"/>
  <c r="P507" i="1"/>
  <c r="M507" i="1"/>
  <c r="P506" i="1"/>
  <c r="M506" i="1"/>
  <c r="L506" i="1"/>
  <c r="P505" i="1"/>
  <c r="M505" i="1"/>
  <c r="P504" i="1"/>
  <c r="M504" i="1"/>
  <c r="P503" i="1"/>
  <c r="M503" i="1"/>
  <c r="P502" i="1"/>
  <c r="M502" i="1"/>
  <c r="P501" i="1"/>
  <c r="M501" i="1"/>
  <c r="P500" i="1"/>
  <c r="M500" i="1"/>
  <c r="P499" i="1"/>
  <c r="M499" i="1"/>
  <c r="P498" i="1"/>
  <c r="M498" i="1"/>
  <c r="P497" i="1"/>
  <c r="M497" i="1"/>
  <c r="P496" i="1"/>
  <c r="M496" i="1"/>
  <c r="L496" i="1"/>
  <c r="P495" i="1"/>
  <c r="M495" i="1"/>
  <c r="P494" i="1"/>
  <c r="M494" i="1"/>
  <c r="P493" i="1"/>
  <c r="M493" i="1"/>
  <c r="P492" i="1"/>
  <c r="M492" i="1"/>
  <c r="P491" i="1"/>
  <c r="M491" i="1"/>
  <c r="P490" i="1"/>
  <c r="M490" i="1"/>
  <c r="L490" i="1"/>
  <c r="P489" i="1"/>
  <c r="M489" i="1"/>
  <c r="P488" i="1"/>
  <c r="M488" i="1"/>
  <c r="P487" i="1"/>
  <c r="M487" i="1"/>
  <c r="P486" i="1"/>
  <c r="M486" i="1"/>
  <c r="P485" i="1"/>
  <c r="M485" i="1"/>
  <c r="P484" i="1"/>
  <c r="M484" i="1"/>
  <c r="P483" i="1"/>
  <c r="M483" i="1"/>
  <c r="L483" i="1"/>
  <c r="P482" i="1"/>
  <c r="M482" i="1"/>
  <c r="L482" i="1"/>
  <c r="P481" i="1"/>
  <c r="M481" i="1"/>
  <c r="P480" i="1"/>
  <c r="M480" i="1"/>
  <c r="P479" i="1"/>
  <c r="M479" i="1"/>
  <c r="P478" i="1"/>
  <c r="M478" i="1"/>
  <c r="P477" i="1"/>
  <c r="M477" i="1"/>
  <c r="P476" i="1"/>
  <c r="M476" i="1"/>
  <c r="P475" i="1"/>
  <c r="M475" i="1"/>
  <c r="P474" i="1"/>
  <c r="M474" i="1"/>
  <c r="P473" i="1"/>
  <c r="M473" i="1"/>
  <c r="P472" i="1"/>
  <c r="M472" i="1"/>
  <c r="P471" i="1"/>
  <c r="M471" i="1"/>
  <c r="P470" i="1"/>
  <c r="M470" i="1"/>
  <c r="P469" i="1"/>
  <c r="M469" i="1"/>
  <c r="P468" i="1"/>
  <c r="M468" i="1"/>
  <c r="P467" i="1"/>
  <c r="M467" i="1"/>
  <c r="P466" i="1"/>
  <c r="M466" i="1"/>
  <c r="P465" i="1"/>
  <c r="M465" i="1"/>
  <c r="P464" i="1"/>
  <c r="M464" i="1"/>
  <c r="P463" i="1"/>
  <c r="M463" i="1"/>
  <c r="P462" i="1"/>
  <c r="M462" i="1"/>
  <c r="P461" i="1"/>
  <c r="M461" i="1"/>
  <c r="P460" i="1"/>
  <c r="M460" i="1"/>
  <c r="P459" i="1"/>
  <c r="M459" i="1"/>
  <c r="P458" i="1"/>
  <c r="M458" i="1"/>
  <c r="P457" i="1"/>
  <c r="M457" i="1"/>
  <c r="P456" i="1"/>
  <c r="M456" i="1"/>
  <c r="P455" i="1"/>
  <c r="M455" i="1"/>
  <c r="P454" i="1"/>
  <c r="M454" i="1"/>
  <c r="P453" i="1"/>
  <c r="M453" i="1"/>
  <c r="P452" i="1"/>
  <c r="M452" i="1"/>
  <c r="P451" i="1"/>
  <c r="M451" i="1"/>
  <c r="P450" i="1"/>
  <c r="M450" i="1"/>
  <c r="P449" i="1"/>
  <c r="M449" i="1"/>
  <c r="P448" i="1"/>
  <c r="M448" i="1"/>
  <c r="P447" i="1"/>
  <c r="M447" i="1"/>
  <c r="P446" i="1"/>
  <c r="M446" i="1"/>
  <c r="P445" i="1"/>
  <c r="M445" i="1"/>
  <c r="P444" i="1"/>
  <c r="M444" i="1"/>
  <c r="P443" i="1"/>
  <c r="M443" i="1"/>
  <c r="P442" i="1"/>
  <c r="M442" i="1"/>
  <c r="P441" i="1"/>
  <c r="M441" i="1"/>
  <c r="P440" i="1"/>
  <c r="M440" i="1"/>
  <c r="P439" i="1"/>
  <c r="M439" i="1"/>
  <c r="P438" i="1"/>
  <c r="M438" i="1"/>
  <c r="P437" i="1"/>
  <c r="M437" i="1"/>
  <c r="P436" i="1"/>
  <c r="M436" i="1"/>
  <c r="P435" i="1"/>
  <c r="M435" i="1"/>
  <c r="P434" i="1"/>
  <c r="M434" i="1"/>
  <c r="P433" i="1"/>
  <c r="M433" i="1"/>
  <c r="P432" i="1"/>
  <c r="M432" i="1"/>
  <c r="P431" i="1"/>
  <c r="M431" i="1"/>
  <c r="P430" i="1"/>
  <c r="M430" i="1"/>
  <c r="P429" i="1"/>
  <c r="M429" i="1"/>
  <c r="P428" i="1"/>
  <c r="M428" i="1"/>
  <c r="P427" i="1"/>
  <c r="M427" i="1"/>
  <c r="P426" i="1"/>
  <c r="L426" i="1"/>
  <c r="P425" i="1"/>
  <c r="M425" i="1"/>
  <c r="P424" i="1"/>
  <c r="M424" i="1"/>
  <c r="L424" i="1"/>
  <c r="P423" i="1"/>
  <c r="M423" i="1"/>
  <c r="L423" i="1"/>
  <c r="P422" i="1"/>
  <c r="M422" i="1"/>
  <c r="P421" i="1"/>
  <c r="M421" i="1"/>
  <c r="L421" i="1"/>
  <c r="P420" i="1"/>
  <c r="M420" i="1"/>
  <c r="P419" i="1"/>
  <c r="M419" i="1"/>
  <c r="L419" i="1"/>
  <c r="P418" i="1"/>
  <c r="M418" i="1"/>
  <c r="L418" i="1"/>
  <c r="P417" i="1"/>
  <c r="M417" i="1"/>
  <c r="P416" i="1"/>
  <c r="M416" i="1"/>
  <c r="L416" i="1"/>
  <c r="P415" i="1"/>
  <c r="M415" i="1"/>
  <c r="P414" i="1"/>
  <c r="M414" i="1"/>
  <c r="L414" i="1"/>
  <c r="P413" i="1"/>
  <c r="M413" i="1"/>
  <c r="P412" i="1"/>
  <c r="M412" i="1"/>
  <c r="P411" i="1"/>
  <c r="M411" i="1"/>
  <c r="L411" i="1"/>
  <c r="P410" i="1"/>
  <c r="M410" i="1"/>
  <c r="L410" i="1"/>
  <c r="P409" i="1"/>
  <c r="M409" i="1"/>
  <c r="L409" i="1"/>
  <c r="P408" i="1"/>
  <c r="M408" i="1"/>
  <c r="P407" i="1"/>
  <c r="M407" i="1"/>
  <c r="L407" i="1"/>
  <c r="P406" i="1"/>
  <c r="M406" i="1"/>
  <c r="P405" i="1"/>
  <c r="M405" i="1"/>
  <c r="L405" i="1"/>
  <c r="P404" i="1"/>
  <c r="M404" i="1"/>
  <c r="L404" i="1"/>
  <c r="P403" i="1"/>
  <c r="M403" i="1"/>
  <c r="P402" i="1"/>
  <c r="M402" i="1"/>
  <c r="L402" i="1"/>
  <c r="P401" i="1"/>
  <c r="M401" i="1"/>
  <c r="L401" i="1"/>
  <c r="P400" i="1"/>
  <c r="M400" i="1"/>
  <c r="P399" i="1"/>
  <c r="M399" i="1"/>
  <c r="L399" i="1"/>
  <c r="P398" i="1"/>
  <c r="M398" i="1"/>
  <c r="P397" i="1"/>
  <c r="M397" i="1"/>
  <c r="P396" i="1"/>
  <c r="M396" i="1"/>
  <c r="P395" i="1"/>
  <c r="M395" i="1"/>
  <c r="P394" i="1"/>
  <c r="M394" i="1"/>
  <c r="P393" i="1"/>
  <c r="M393" i="1"/>
  <c r="P392" i="1"/>
  <c r="M392" i="1"/>
  <c r="L392" i="1"/>
  <c r="P391" i="1"/>
  <c r="M391" i="1"/>
  <c r="L391" i="1"/>
  <c r="P390" i="1"/>
  <c r="M390" i="1"/>
  <c r="L390" i="1"/>
  <c r="P389" i="1"/>
  <c r="M389" i="1"/>
  <c r="L389" i="1"/>
  <c r="P388" i="1"/>
  <c r="M388" i="1"/>
  <c r="L388" i="1"/>
  <c r="P387" i="1"/>
  <c r="M387" i="1"/>
  <c r="L387" i="1"/>
  <c r="P386" i="1"/>
  <c r="M386" i="1"/>
  <c r="L386" i="1"/>
  <c r="P385" i="1"/>
  <c r="M385" i="1"/>
  <c r="P384" i="1"/>
  <c r="M384" i="1"/>
  <c r="P383" i="1"/>
  <c r="M383" i="1"/>
  <c r="P382" i="1"/>
  <c r="M382" i="1"/>
  <c r="P381" i="1"/>
  <c r="M381" i="1"/>
  <c r="L381" i="1"/>
  <c r="P380" i="1"/>
  <c r="M380" i="1"/>
  <c r="L380" i="1"/>
  <c r="P379" i="1"/>
  <c r="M379" i="1"/>
  <c r="P378" i="1"/>
  <c r="M378" i="1"/>
  <c r="P377" i="1"/>
  <c r="M377" i="1"/>
  <c r="L377" i="1"/>
  <c r="P376" i="1"/>
  <c r="M376" i="1"/>
  <c r="L376" i="1"/>
  <c r="P375" i="1"/>
  <c r="M375" i="1"/>
  <c r="L375" i="1"/>
  <c r="P374" i="1"/>
  <c r="M374" i="1"/>
  <c r="P373" i="1"/>
  <c r="M373" i="1"/>
  <c r="P372" i="1"/>
  <c r="M372" i="1"/>
  <c r="L372" i="1"/>
  <c r="P371" i="1"/>
  <c r="M371" i="1"/>
  <c r="L371" i="1"/>
  <c r="P370" i="1"/>
  <c r="M370" i="1"/>
  <c r="P369" i="1"/>
  <c r="M369" i="1"/>
  <c r="L369" i="1"/>
  <c r="P368" i="1"/>
  <c r="P367" i="1"/>
  <c r="M367" i="1"/>
  <c r="L367" i="1"/>
  <c r="P366" i="1"/>
  <c r="M366" i="1"/>
  <c r="L366" i="1"/>
  <c r="P365" i="1"/>
  <c r="M365" i="1"/>
  <c r="L365" i="1"/>
  <c r="P364" i="1"/>
  <c r="M364" i="1"/>
  <c r="P363" i="1"/>
  <c r="M363" i="1"/>
  <c r="L363" i="1"/>
  <c r="P362" i="1"/>
  <c r="M362" i="1"/>
  <c r="L362" i="1"/>
  <c r="P361" i="1"/>
  <c r="M361" i="1"/>
  <c r="P360" i="1"/>
  <c r="M360" i="1"/>
  <c r="L360" i="1"/>
  <c r="P359" i="1"/>
  <c r="M359" i="1"/>
  <c r="L359" i="1"/>
  <c r="P358" i="1"/>
  <c r="M358" i="1"/>
  <c r="P357" i="1"/>
  <c r="M357" i="1"/>
  <c r="L357" i="1"/>
  <c r="P356" i="1"/>
  <c r="M356" i="1"/>
  <c r="L356" i="1"/>
  <c r="P355" i="1"/>
  <c r="M355" i="1"/>
  <c r="L355" i="1"/>
  <c r="P354" i="1"/>
  <c r="M354" i="1"/>
  <c r="P353" i="1"/>
  <c r="M353" i="1"/>
  <c r="P352" i="1"/>
  <c r="M352" i="1"/>
  <c r="P351" i="1"/>
  <c r="M351" i="1"/>
  <c r="P350" i="1"/>
  <c r="M350" i="1"/>
  <c r="P349" i="1"/>
  <c r="M349" i="1"/>
  <c r="P348" i="1"/>
  <c r="M348" i="1"/>
  <c r="P347" i="1"/>
  <c r="M347" i="1"/>
  <c r="P346" i="1"/>
  <c r="M346" i="1"/>
  <c r="L346" i="1"/>
  <c r="P345" i="1"/>
  <c r="M345" i="1"/>
  <c r="L345" i="1"/>
  <c r="P344" i="1"/>
  <c r="M344" i="1"/>
  <c r="L344" i="1"/>
  <c r="P343" i="1"/>
  <c r="M343" i="1"/>
  <c r="L343" i="1"/>
  <c r="P342" i="1"/>
  <c r="M342" i="1"/>
  <c r="P341" i="1"/>
  <c r="M341" i="1"/>
  <c r="L341" i="1"/>
  <c r="P340" i="1"/>
  <c r="M340" i="1"/>
  <c r="L340" i="1"/>
  <c r="P339" i="1"/>
  <c r="M339" i="1"/>
  <c r="L339" i="1"/>
  <c r="P338" i="1"/>
  <c r="M338" i="1"/>
  <c r="L338" i="1"/>
  <c r="P337" i="1"/>
  <c r="M337" i="1"/>
  <c r="L337" i="1"/>
  <c r="P336" i="1"/>
  <c r="M336" i="1"/>
  <c r="L336" i="1"/>
  <c r="P335" i="1"/>
  <c r="M335" i="1"/>
  <c r="L335" i="1"/>
  <c r="P334" i="1"/>
  <c r="M334" i="1"/>
  <c r="P333" i="1"/>
  <c r="M333" i="1"/>
  <c r="L333" i="1"/>
  <c r="P332" i="1"/>
  <c r="M332" i="1"/>
  <c r="P331" i="1"/>
  <c r="M331" i="1"/>
  <c r="L331" i="1"/>
  <c r="P330" i="1"/>
  <c r="M330" i="1"/>
  <c r="L330" i="1"/>
  <c r="P329" i="1"/>
  <c r="M329" i="1"/>
  <c r="L329" i="1"/>
  <c r="P328" i="1"/>
  <c r="M328" i="1"/>
  <c r="L328" i="1"/>
  <c r="P327" i="1"/>
  <c r="M327" i="1"/>
  <c r="P326" i="1"/>
  <c r="M326" i="1"/>
  <c r="P325" i="1"/>
  <c r="M325" i="1"/>
  <c r="L325" i="1"/>
  <c r="P324" i="1"/>
  <c r="M324" i="1"/>
  <c r="L324" i="1"/>
  <c r="P323" i="1"/>
  <c r="M323" i="1"/>
  <c r="L323" i="1"/>
  <c r="P322" i="1"/>
  <c r="M322" i="1"/>
  <c r="L322" i="1"/>
  <c r="P321" i="1"/>
  <c r="M321" i="1"/>
  <c r="L321" i="1"/>
  <c r="P320" i="1"/>
  <c r="M320" i="1"/>
  <c r="L320" i="1"/>
  <c r="P319" i="1"/>
  <c r="M319" i="1"/>
  <c r="P318" i="1"/>
  <c r="P317" i="1"/>
  <c r="M317" i="1"/>
  <c r="L317" i="1"/>
  <c r="P316" i="1"/>
  <c r="M316" i="1"/>
  <c r="L316" i="1"/>
  <c r="P315" i="1"/>
  <c r="M315" i="1"/>
  <c r="L315" i="1"/>
  <c r="P314" i="1"/>
  <c r="M314" i="1"/>
  <c r="L314" i="1"/>
  <c r="P313" i="1"/>
  <c r="M313" i="1"/>
  <c r="P312" i="1"/>
  <c r="M312" i="1"/>
  <c r="P311" i="1"/>
  <c r="M311" i="1"/>
  <c r="L311" i="1"/>
  <c r="P310" i="1"/>
  <c r="M310" i="1"/>
  <c r="L310" i="1"/>
  <c r="P309" i="1"/>
  <c r="M309" i="1"/>
  <c r="L309" i="1"/>
  <c r="P308" i="1"/>
  <c r="M308" i="1"/>
  <c r="L308" i="1"/>
  <c r="P307" i="1"/>
  <c r="M307" i="1"/>
  <c r="L307" i="1"/>
  <c r="P306" i="1"/>
  <c r="M306" i="1"/>
  <c r="L306" i="1"/>
  <c r="P305" i="1"/>
  <c r="M305" i="1"/>
  <c r="L305" i="1"/>
  <c r="P304" i="1"/>
  <c r="M304" i="1"/>
  <c r="P303" i="1"/>
  <c r="M303" i="1"/>
  <c r="P302" i="1"/>
  <c r="M302" i="1"/>
  <c r="P301" i="1"/>
  <c r="P300" i="1"/>
  <c r="M300" i="1"/>
  <c r="P299" i="1"/>
  <c r="M299" i="1"/>
  <c r="L299" i="1"/>
  <c r="P298" i="1"/>
  <c r="P297" i="1"/>
  <c r="P296" i="1"/>
  <c r="M296" i="1"/>
  <c r="L296" i="1"/>
  <c r="P295" i="1"/>
  <c r="M295" i="1"/>
  <c r="L295" i="1"/>
  <c r="P294" i="1"/>
  <c r="M294" i="1"/>
  <c r="P293" i="1"/>
  <c r="M293" i="1"/>
  <c r="P292" i="1"/>
  <c r="P291" i="1"/>
  <c r="P290" i="1"/>
  <c r="P289" i="1"/>
  <c r="M289" i="1"/>
  <c r="L289" i="1"/>
  <c r="P288" i="1"/>
  <c r="M288" i="1"/>
  <c r="P287" i="1"/>
  <c r="M287" i="1"/>
  <c r="P286" i="1"/>
  <c r="M286" i="1"/>
  <c r="P285" i="1"/>
  <c r="P284" i="1"/>
  <c r="M284" i="1"/>
  <c r="P283" i="1"/>
  <c r="P282" i="1"/>
  <c r="M282" i="1"/>
  <c r="P281" i="1"/>
  <c r="M281" i="1"/>
  <c r="P280" i="1"/>
  <c r="M280" i="1"/>
  <c r="P279" i="1"/>
  <c r="P278" i="1"/>
  <c r="M278" i="1"/>
  <c r="P277" i="1"/>
  <c r="P276" i="1"/>
  <c r="M276" i="1"/>
  <c r="P275" i="1"/>
  <c r="M275" i="1"/>
  <c r="P274" i="1"/>
  <c r="M274" i="1"/>
  <c r="P273" i="1"/>
  <c r="P272" i="1"/>
  <c r="M272" i="1"/>
  <c r="L272" i="1"/>
  <c r="M251" i="1"/>
  <c r="M250" i="1"/>
  <c r="M249" i="1"/>
  <c r="M248" i="1"/>
  <c r="M247" i="1"/>
  <c r="M246" i="1"/>
  <c r="L246" i="1"/>
  <c r="M245" i="1"/>
  <c r="M244" i="1"/>
  <c r="M243" i="1"/>
  <c r="M242" i="1"/>
  <c r="M241" i="1"/>
  <c r="M240" i="1"/>
  <c r="M239" i="1"/>
  <c r="M238" i="1"/>
  <c r="M237" i="1"/>
  <c r="M236" i="1"/>
  <c r="L236" i="1"/>
  <c r="M235" i="1"/>
  <c r="M234" i="1"/>
  <c r="M233" i="1"/>
  <c r="M232" i="1"/>
  <c r="M231" i="1"/>
  <c r="M230" i="1"/>
  <c r="L230" i="1"/>
  <c r="M229" i="1"/>
  <c r="M228" i="1"/>
  <c r="M227" i="1"/>
  <c r="M226" i="1"/>
  <c r="M225" i="1"/>
  <c r="M224" i="1"/>
  <c r="M223" i="1"/>
  <c r="L223" i="1"/>
  <c r="M222" i="1"/>
  <c r="L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L166" i="1"/>
  <c r="M165" i="1"/>
  <c r="M164" i="1"/>
  <c r="L164" i="1"/>
  <c r="M163" i="1"/>
  <c r="L163" i="1"/>
  <c r="M162" i="1"/>
  <c r="M161" i="1"/>
  <c r="L161" i="1"/>
  <c r="M160" i="1"/>
  <c r="M159" i="1"/>
  <c r="L159" i="1"/>
  <c r="M158" i="1"/>
  <c r="L158" i="1"/>
  <c r="M157" i="1"/>
  <c r="M156" i="1"/>
  <c r="L156" i="1"/>
  <c r="M155" i="1"/>
  <c r="M154" i="1"/>
  <c r="L154" i="1"/>
  <c r="M153" i="1"/>
  <c r="M152" i="1"/>
  <c r="M151" i="1"/>
  <c r="L151" i="1"/>
  <c r="M150" i="1"/>
  <c r="L150" i="1"/>
  <c r="M149" i="1"/>
  <c r="L149" i="1"/>
  <c r="M148" i="1"/>
  <c r="M147" i="1"/>
  <c r="L147" i="1"/>
  <c r="M146" i="1"/>
  <c r="M145" i="1"/>
  <c r="L145" i="1"/>
  <c r="M144" i="1"/>
  <c r="L144" i="1"/>
  <c r="M143" i="1"/>
  <c r="M142" i="1"/>
  <c r="L142" i="1"/>
  <c r="M141" i="1"/>
  <c r="L141" i="1"/>
  <c r="M140" i="1"/>
  <c r="M139" i="1"/>
  <c r="L139" i="1"/>
  <c r="M138" i="1"/>
  <c r="M137" i="1"/>
  <c r="M136" i="1"/>
  <c r="M135" i="1"/>
  <c r="M134" i="1"/>
  <c r="M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M124" i="1"/>
  <c r="M123" i="1"/>
  <c r="M122" i="1"/>
  <c r="M121" i="1"/>
  <c r="L121" i="1"/>
  <c r="M120" i="1"/>
  <c r="L120" i="1"/>
  <c r="M119" i="1"/>
  <c r="M118" i="1"/>
  <c r="M117" i="1"/>
  <c r="L117" i="1"/>
  <c r="M116" i="1"/>
  <c r="L116" i="1"/>
  <c r="M115" i="1"/>
  <c r="L115" i="1"/>
  <c r="M114" i="1"/>
  <c r="M113" i="1"/>
  <c r="M112" i="1"/>
  <c r="L112" i="1"/>
  <c r="M111" i="1"/>
  <c r="L111" i="1"/>
  <c r="M110" i="1"/>
  <c r="M109" i="1"/>
  <c r="L109" i="1"/>
  <c r="M107" i="1"/>
  <c r="L107" i="1"/>
  <c r="M106" i="1"/>
  <c r="L106" i="1"/>
  <c r="M105" i="1"/>
  <c r="L105" i="1"/>
  <c r="M104" i="1"/>
  <c r="M103" i="1"/>
  <c r="L103" i="1"/>
  <c r="M102" i="1"/>
  <c r="L102" i="1"/>
  <c r="M101" i="1"/>
  <c r="M100" i="1"/>
  <c r="L100" i="1"/>
  <c r="M99" i="1"/>
  <c r="L99" i="1"/>
  <c r="M98" i="1"/>
  <c r="M97" i="1"/>
  <c r="L97" i="1"/>
  <c r="M96" i="1"/>
  <c r="L96" i="1"/>
  <c r="M95" i="1"/>
  <c r="L95" i="1"/>
  <c r="M94" i="1"/>
  <c r="M93" i="1"/>
  <c r="M92" i="1"/>
  <c r="M91" i="1"/>
  <c r="M90" i="1"/>
  <c r="M89" i="1"/>
  <c r="M88" i="1"/>
  <c r="M87" i="1"/>
  <c r="M86" i="1"/>
  <c r="L86" i="1"/>
  <c r="M85" i="1"/>
  <c r="L85" i="1"/>
  <c r="M84" i="1"/>
  <c r="L84" i="1"/>
  <c r="M83" i="1"/>
  <c r="L83" i="1"/>
  <c r="M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M73" i="1"/>
  <c r="L73" i="1"/>
  <c r="M72" i="1"/>
  <c r="M71" i="1"/>
  <c r="L71" i="1"/>
  <c r="M70" i="1"/>
  <c r="L70" i="1"/>
  <c r="M69" i="1"/>
  <c r="L69" i="1"/>
  <c r="M68" i="1"/>
  <c r="L68" i="1"/>
  <c r="M67" i="1"/>
  <c r="M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M57" i="1"/>
  <c r="L57" i="1"/>
  <c r="M56" i="1"/>
  <c r="L56" i="1"/>
  <c r="M55" i="1"/>
  <c r="L55" i="1"/>
  <c r="M54" i="1"/>
  <c r="L54" i="1"/>
  <c r="M53" i="1"/>
  <c r="M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M43" i="1"/>
  <c r="M42" i="1"/>
  <c r="M41" i="1"/>
  <c r="L41" i="1"/>
  <c r="M40" i="1"/>
  <c r="M39" i="1"/>
  <c r="L39" i="1"/>
  <c r="M38" i="1"/>
  <c r="L38" i="1"/>
  <c r="M37" i="1"/>
  <c r="L37" i="1"/>
  <c r="M36" i="1"/>
  <c r="L36" i="1"/>
  <c r="M35" i="1"/>
  <c r="L35" i="1"/>
  <c r="M34" i="1"/>
  <c r="M33" i="1"/>
  <c r="M32" i="1"/>
  <c r="L32" i="1"/>
  <c r="M31" i="1"/>
  <c r="L31" i="1"/>
  <c r="M30" i="1"/>
  <c r="L30" i="1"/>
  <c r="M29" i="1"/>
  <c r="L29" i="1"/>
  <c r="M28" i="1"/>
  <c r="M27" i="1"/>
  <c r="M26" i="1"/>
  <c r="M25" i="1"/>
  <c r="L25" i="1"/>
  <c r="M24" i="1"/>
  <c r="M23" i="1"/>
  <c r="L23" i="1"/>
  <c r="M22" i="1"/>
  <c r="M21" i="1"/>
  <c r="M20" i="1"/>
  <c r="M19" i="1"/>
  <c r="L19" i="1"/>
  <c r="M18" i="1"/>
  <c r="M17" i="1"/>
  <c r="L17" i="1"/>
  <c r="M16" i="1"/>
  <c r="M15" i="1"/>
  <c r="M14" i="1"/>
  <c r="M13" i="1"/>
  <c r="L13" i="1"/>
  <c r="M12" i="1"/>
  <c r="L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 1</author>
    <author>Author 2</author>
  </authors>
  <commentList>
    <comment ref="D6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AR8P6N4L2J0HYF</t>
        </r>
        <r>
          <rPr>
            <sz val="9"/>
            <rFont val="宋体"/>
            <family val="3"/>
            <charset val="134"/>
          </rPr>
          <t xml:space="preserve">N4L2J0HYFWDUBS9Q7O5M3K1IZGXEVCTAR8P6N4L2J0HYFWDUBS</t>
        </r>
      </text>
    </comment>
    <comment ref="E6" authorId="0" shapeId="0" xr:uid="{00000000-0006-0000-0000-000002000000}">
      <text>
        <r>
          <rPr>
            <sz val="9"/>
            <rFont val="宋体"/>
            <family val="3"/>
            <charset val="134"/>
          </rPr>
          <t>0HYFWDUBS9Q7O5M3K1IZGXEVCTAR8P6N4</t>
        </r>
      </text>
    </comment>
    <comment ref="J6" authorId="0" shapeId="0" xr:uid="{00000000-0006-0000-0000-000003000000}">
      <text>
        <r>
          <rPr>
            <b/>
            <sz val="9"/>
            <rFont val="宋体"/>
            <family val="3"/>
            <charset val="134"/>
          </rPr>
          <t>DUBS9Q7O5M3K1I</t>
        </r>
        <r>
          <rPr>
            <sz val="9"/>
            <rFont val="宋体"/>
            <family val="3"/>
            <charset val="134"/>
          </rPr>
          <t xml:space="preserve">Q7O5M3K1IZGXEVCTAR8P6N4L2J0HYFWDUBS</t>
        </r>
      </text>
    </comment>
    <comment ref="K6" authorId="0" shapeId="0" xr:uid="{00000000-0006-0000-0000-000004000000}">
      <text>
        <r>
          <rPr>
            <b/>
            <sz val="9"/>
            <rFont val="宋体"/>
            <family val="3"/>
            <charset val="134"/>
          </rPr>
          <t>3K1IZGXEVCTAR8</t>
        </r>
        <r>
          <rPr>
            <sz val="9"/>
            <rFont val="宋体"/>
            <family val="3"/>
            <charset val="134"/>
          </rPr>
          <t xml:space="preserve">GXEVCTAR8P6N4L2J0HYFWDUBS9Q7O5M3K1IZGXEVCTAR8P6N4L2J0HYFWDUBS9Q7O5M3K1IZGXEVCTAR8P6N4L2J0HYFWDUBS9Q7O5M3K1IZG</t>
        </r>
      </text>
    </comment>
    <comment ref="L6" authorId="1" shapeId="0" xr:uid="{00000000-0006-0000-0000-000005000000}">
      <text>
        <r>
          <rPr>
            <b/>
            <sz val="9"/>
            <color rgb="FF000000"/>
            <rFont val="宋体"/>
            <family val="3"/>
            <charset val="134"/>
          </rPr>
          <t>TAR8P6</t>
        </r>
        <r>
          <rPr>
            <sz val="9"/>
            <color rgb="FF000000"/>
            <rFont val="宋体"/>
            <family val="3"/>
            <charset val="134"/>
          </rPr>
          <t xml:space="preserve">6N4L2J0HYFWDUBS9Q7O5M3K1IZGXEVCTAR8P6N4L2J0HYFWDUBS9Q7</t>
        </r>
      </text>
    </comment>
  </commentList>
</comments>
</file>

<file path=xl/sharedStrings.xml><?xml version="1.0" encoding="utf-8"?>
<sst xmlns="http://schemas.openxmlformats.org/spreadsheetml/2006/main" count="4178" uniqueCount="594">
  <si>
    <t>AR8P6N4L2J0HYFWDU</t>
  </si>
  <si>
    <t>N4</t>
  </si>
  <si>
    <t>0HYFWDU</t>
  </si>
  <si>
    <t>DUBS9Q7</t>
  </si>
  <si>
    <t>Q7O5</t>
  </si>
  <si>
    <t>3K1IZGXEV</t>
  </si>
  <si>
    <t>GXEVCT</t>
  </si>
  <si>
    <t>TAR8P6N4L2J0</t>
  </si>
  <si>
    <t>6N4L</t>
  </si>
  <si>
    <t>J0HYFWDU</t>
  </si>
  <si>
    <t>WDUBS9Q7O5M3K</t>
  </si>
  <si>
    <t>9Q7O5M3K1IZ</t>
  </si>
  <si>
    <t>M3K1IZGXE</t>
  </si>
  <si>
    <t>ZGXEVCTAR8P6N4</t>
  </si>
  <si>
    <t>CTA</t>
  </si>
  <si>
    <t>P6N4L2J</t>
  </si>
  <si>
    <t>2J0HYF</t>
  </si>
  <si>
    <t>FWDU</t>
  </si>
  <si>
    <t>S9Q7O</t>
  </si>
  <si>
    <t>5M3K1I</t>
  </si>
  <si>
    <t>IZGXE</t>
  </si>
  <si>
    <t>VCTAR8P</t>
  </si>
  <si>
    <t>8P</t>
  </si>
  <si>
    <t>L</t>
  </si>
  <si>
    <t>YFWDUB</t>
  </si>
  <si>
    <t>BS9</t>
  </si>
  <si>
    <t>O5M3K1IZGXEVC</t>
  </si>
  <si>
    <t>1IZGXEVCTAR8</t>
  </si>
  <si>
    <t>EVCTAR8P6N4L2J0HY</t>
  </si>
  <si>
    <t>R8P6N4L2J0HYFWD</t>
  </si>
  <si>
    <t>4L2J0HYFWDUBS9Q7O5M3</t>
  </si>
  <si>
    <t>HYFWDUBS9Q7O5M3K1IZGXEVCTAR8P6N4L2J0HYFWDUBS9Q7O5M3K1IZGXEVCTAR8P6N4L2J0HYFWDU</t>
  </si>
  <si>
    <t>UBS</t>
  </si>
  <si>
    <t>7O</t>
  </si>
  <si>
    <t>K1IZ</t>
  </si>
  <si>
    <t>XEVC</t>
  </si>
  <si>
    <t>AR8P6N</t>
  </si>
  <si>
    <t>N4</t>
  </si>
  <si>
    <t>0HYFWDUB</t>
  </si>
  <si>
    <t>DU</t>
  </si>
  <si>
    <t>Q7O5M3</t>
  </si>
  <si>
    <t>3K1I</t>
  </si>
  <si>
    <t>GXEVCTAR8P6N4L2J0HYF</t>
  </si>
  <si>
    <t>TAR8P6</t>
  </si>
  <si>
    <t>6N4L2J</t>
  </si>
  <si>
    <t>J0HYF</t>
  </si>
  <si>
    <t>WDU</t>
  </si>
  <si>
    <t>9Q7O5M3K1IZG</t>
  </si>
  <si>
    <t>M3K1I</t>
  </si>
  <si>
    <t>ZGX</t>
  </si>
  <si>
    <t>CTAR8P6N4L2J</t>
  </si>
  <si>
    <t>P6N4L</t>
  </si>
  <si>
    <t>2J0</t>
  </si>
  <si>
    <t>FWDUBS9Q7O5M</t>
  </si>
  <si>
    <t>S9Q7O</t>
  </si>
  <si>
    <t>5M3</t>
  </si>
  <si>
    <t>IZGXEVCTAR8P</t>
  </si>
  <si>
    <t>VCTAR</t>
  </si>
  <si>
    <t>8P6</t>
  </si>
  <si>
    <t>L2J0HYFWDUBS</t>
  </si>
  <si>
    <t>YFWDU</t>
  </si>
  <si>
    <t>BS</t>
  </si>
  <si>
    <t>O5M3K1IZGXEV</t>
  </si>
  <si>
    <t>1IZGXEVCTAR8P6N4L2J0HYFWDU</t>
  </si>
  <si>
    <t>EVCTAR8P6N4</t>
  </si>
  <si>
    <t>R8P6N</t>
  </si>
  <si>
    <t>4L2J0HYFWDUBS9Q7O5M3K1IZGX</t>
  </si>
  <si>
    <t>HYFWD</t>
  </si>
  <si>
    <t>UBS9Q7O5M3K1I</t>
  </si>
  <si>
    <t>7O5M3K1IZGXEVCTAR8P6N4L2J0</t>
  </si>
  <si>
    <t>K1IZG</t>
  </si>
  <si>
    <t>XEVCTAR8P6N4L2J0HYFWDUBS9Q</t>
  </si>
  <si>
    <t>AR8P6</t>
  </si>
  <si>
    <t>N4L2J0HYFWDUBS9Q7O5M3K1IZG</t>
  </si>
  <si>
    <t>0HYFW</t>
  </si>
  <si>
    <t>DUBS9Q7O5M3K</t>
  </si>
  <si>
    <t>Q7O5M3K1IZGXEVCTAR8P6N4L2J</t>
  </si>
  <si>
    <t>3K1IZ</t>
  </si>
  <si>
    <t>GXEVCTAR8P6N4L2J0HYFWDUBS9</t>
  </si>
  <si>
    <t>TAR8P</t>
  </si>
  <si>
    <t>6N4L2J0HYFWDUBS9Q7O5M3K1IZ</t>
  </si>
  <si>
    <t>J0HYF</t>
  </si>
  <si>
    <t>WDUBS9Q7O5M3K1IZGXEVCTAR8P</t>
  </si>
  <si>
    <t>9Q7O5M</t>
  </si>
  <si>
    <t>M3K1IZGXEVCTAR8P6N4L2J0HYF</t>
  </si>
  <si>
    <t>ZGXEVC</t>
  </si>
  <si>
    <t>CTAR8P6N4L2J0HYFWDUBS9Q7O5</t>
  </si>
  <si>
    <t>P6N4L2</t>
  </si>
  <si>
    <t>2J0HYFWDUBS9</t>
  </si>
  <si>
    <t>FWDUBS9Q7O5M3K1IZGXEVCTAR8</t>
  </si>
  <si>
    <t>S9Q7O5</t>
  </si>
  <si>
    <t>5M3K1IZGXEVCTAR8P6N4L2J0HY</t>
  </si>
  <si>
    <t>IZGXEV</t>
  </si>
  <si>
    <t>VCTAR8P6N4L2J0HYFWDUBS9Q7O</t>
  </si>
  <si>
    <t>8P6N4L</t>
  </si>
  <si>
    <t>L2J0HYFWDUBS9Q7O5M3K1IZGXE</t>
  </si>
  <si>
    <t>YFWDUB</t>
  </si>
  <si>
    <t>BS9Q7O5M3K1IZGXEVCTAR8P6N4</t>
  </si>
  <si>
    <t>O5M3K1</t>
  </si>
  <si>
    <t>1IZGXEVCTAR8P6N4L2J0HYFWDU</t>
  </si>
  <si>
    <t>EVCTAR</t>
  </si>
  <si>
    <t>R8P6N4L2J0HYFWDUBS9Q7O5M3K</t>
  </si>
  <si>
    <t>4L2J0HYFWD</t>
  </si>
  <si>
    <t>HYFWDU</t>
  </si>
  <si>
    <t>UBS9Q7O5M3K1IZGXEVCTAR8P6N</t>
  </si>
  <si>
    <t>7O5M3K</t>
  </si>
  <si>
    <t>K1IZGXEVCTAR8P6N4L2J0HYFWD</t>
  </si>
  <si>
    <t>XEVCTA</t>
  </si>
  <si>
    <t>AR8P6N4L2J0HYFWDUBS9Q7O5M3</t>
  </si>
  <si>
    <t>N4L2J0</t>
  </si>
  <si>
    <t>0HYFWDUBS9Q7O5M3K1IZGXEVCT</t>
  </si>
  <si>
    <t>DUBS9Q</t>
  </si>
  <si>
    <t>Q7O5M3K1IZGXEVCTAR8P6N4L2J</t>
  </si>
  <si>
    <t>3K1IZG</t>
  </si>
  <si>
    <t>GXEVCTAR8P6N</t>
  </si>
  <si>
    <t>TAR8P6N4L2J0HYFWDUBS9Q7O5M</t>
  </si>
  <si>
    <t>6N4L2J</t>
  </si>
  <si>
    <t>J0HYFWDUBS9Q7O5M3K1IZGXEVC</t>
  </si>
  <si>
    <t>WDUBS9</t>
  </si>
  <si>
    <t>9Q7O5M3K1IZGXEVCTAR8P6N4L2</t>
  </si>
  <si>
    <t>M3K1IZ</t>
  </si>
  <si>
    <t>ZGXEVCTAR8P6N4L2J0HYFWDUBS</t>
  </si>
  <si>
    <t>CTAR8P</t>
  </si>
  <si>
    <t>P6N4L2J0HYFWDUBS9Q7O5M3K1I</t>
  </si>
  <si>
    <t>2J0HYF</t>
  </si>
  <si>
    <t>FWDUBS9Q7O5M3K1IZGXEVCTAR8</t>
  </si>
  <si>
    <t>S9Q7O5</t>
  </si>
  <si>
    <t>5M3K1IZGXEVCTAR8P6N4L2J0HY</t>
  </si>
  <si>
    <t>IZGXEV</t>
  </si>
  <si>
    <t>VCTAR8P6N4L2J0HYFWDUBS9Q7O</t>
  </si>
  <si>
    <t>8P6N4L</t>
  </si>
  <si>
    <t>L2J0HYFWDUBS9Q7O5M3K1IZGXE</t>
  </si>
  <si>
    <t>YFWDUB</t>
  </si>
  <si>
    <t>BS9Q7O5M3K1IZGXEVCTAR8P6N4</t>
  </si>
  <si>
    <t>O5M3K1</t>
  </si>
  <si>
    <t>1IZGXEVCTAR8</t>
  </si>
  <si>
    <t>EVCTAR8P6N4L2J0HYFWDUBS9Q7</t>
  </si>
  <si>
    <t>R8P6N4</t>
  </si>
  <si>
    <t>4L2J0HYFWDUBS9Q7O5M3K1IZGX</t>
  </si>
  <si>
    <t>HYFWDU</t>
  </si>
  <si>
    <t>UBS9Q7O5M3K1IZGXEVCTAR8P6N</t>
  </si>
  <si>
    <t>7O5M3K</t>
  </si>
  <si>
    <t>K1IZGXEVCTAR</t>
  </si>
  <si>
    <t>XEVCTAR8P6N4L2J0HYFWDUBS9Q</t>
  </si>
  <si>
    <t>AR8P6N</t>
  </si>
  <si>
    <t>N4L2J0HYFWDUBS9Q7O5M3K1IZG</t>
  </si>
  <si>
    <t>0HYFWD</t>
  </si>
  <si>
    <t>DUBS9Q7O5M3K1IZGXEVCTAR8P6</t>
  </si>
  <si>
    <t>Q7O5M3</t>
  </si>
  <si>
    <t>3K1IZGXEVCTAR8P6N4L2J0HYFW</t>
  </si>
  <si>
    <t>GXEVCT</t>
  </si>
  <si>
    <t>TAR8P6N4L2J0HYFWDUBS9Q7O5M</t>
  </si>
  <si>
    <t>6N4L2J</t>
  </si>
  <si>
    <t>J0HYFWDUBS9Q7O5M3K1IZGXEVC</t>
  </si>
  <si>
    <t>WDUBS9</t>
  </si>
  <si>
    <t>9Q7O5M3K1IZG</t>
  </si>
  <si>
    <t>M3K1IZGXEVCTAR8P6N4L2J0HYF</t>
  </si>
  <si>
    <t>ZGXEVC</t>
  </si>
  <si>
    <t>CTAR8P6N4L2J0HYFWDUBS9Q7O5</t>
  </si>
  <si>
    <t>P6N4L2</t>
  </si>
  <si>
    <t>2J0HYFWDUBS9Q7O5M3K1IZGXEV</t>
  </si>
  <si>
    <t>FWDUBS</t>
  </si>
  <si>
    <t>S9Q7O5M3K1IZGXEVCTAR8P6N4L</t>
  </si>
  <si>
    <t>5M3K1I</t>
  </si>
  <si>
    <t>IZGXEVCTAR8P6N4L2J0HYFWDUB</t>
  </si>
  <si>
    <t>VCTAR8</t>
  </si>
  <si>
    <t>8P6N4L2J0HYFWDUBS9Q7O5M3K1</t>
  </si>
  <si>
    <t>L2J0HY</t>
  </si>
  <si>
    <t>YFWDUBS9Q7O5M3K1IZGXEVCTAR</t>
  </si>
  <si>
    <t>BS9Q7O</t>
  </si>
  <si>
    <t>O5M3K1IZGXEVC</t>
  </si>
  <si>
    <t>1IZGXEVCTAR8P6N4L2J0HYFWDU</t>
  </si>
  <si>
    <t>EVCTAR</t>
  </si>
  <si>
    <t>R8P6N4L2J0HYFWDUBS9Q7O5M3K</t>
  </si>
  <si>
    <t>4L2J0H</t>
  </si>
  <si>
    <t>HYFWDUBS9Q7O5M3K1IZGXEVCTA</t>
  </si>
  <si>
    <t>UBS9Q7</t>
  </si>
  <si>
    <t>7O5M3K1IZGXEVCTAR8P6N4L2J0</t>
  </si>
  <si>
    <t>K1IZGX</t>
  </si>
  <si>
    <t>XEVCTAR8P6N4L2J0HYFWDUBS9Q</t>
  </si>
  <si>
    <t>AR8P6N</t>
  </si>
  <si>
    <t>N4L2J0HYFWDUBS9Q7O5M3K1IZG</t>
  </si>
  <si>
    <t>0HYFWD</t>
  </si>
  <si>
    <t>DUBS9Q7O5M3K1IZGXEVCTAR8P6</t>
  </si>
  <si>
    <t>Q7O5M3</t>
  </si>
  <si>
    <t>3K1IZGXEVCTA</t>
  </si>
  <si>
    <t>GXEVCTAR8P6N4L2J0HYFWDUBS9</t>
  </si>
  <si>
    <t>TAR8P6</t>
  </si>
  <si>
    <t>6N4L2J0HYFWDUBS9Q7O5M3K1IZ</t>
  </si>
  <si>
    <t>J0HYFW</t>
  </si>
  <si>
    <t>WDUBS9Q7O5M3K1IZGXEVCTAR8P</t>
  </si>
  <si>
    <t>9Q7O5M</t>
  </si>
  <si>
    <t>M3K1IZGXEVCTAR8P6N4L2J0HYF</t>
  </si>
  <si>
    <t>ZGXEVC</t>
  </si>
  <si>
    <t>CTAR8P6N4L2J0HYFWDUBS9Q7O5</t>
  </si>
  <si>
    <t>P6N4L2</t>
  </si>
  <si>
    <t>2J0HYFWDUBS9Q7O5M3K1IZGXEV</t>
  </si>
  <si>
    <t>FWDUBS</t>
  </si>
  <si>
    <t>S9Q7O5M3K1IZGXEVCTAR8P6N4L</t>
  </si>
  <si>
    <t>5M3K1I</t>
  </si>
  <si>
    <t>IZGXEVCTAR8P6N4L2J0HYFWDUB</t>
  </si>
  <si>
    <t>VCTAR8</t>
  </si>
  <si>
    <t>8P6N4L2J0HYFWDUBS9Q7O5M3K1</t>
  </si>
  <si>
    <t>L2J0HY</t>
  </si>
  <si>
    <t>YFWDUBS9Q7O5M3K1IZGXEVCTAR</t>
  </si>
  <si>
    <t>BS9Q7O</t>
  </si>
  <si>
    <t>O5M3K1IZGXEVCTAR8P6N4L2J0H</t>
  </si>
  <si>
    <t>1IZGXE</t>
  </si>
  <si>
    <t>EVCTAR8P6N4L2J0HYFWDUBS9Q7</t>
  </si>
  <si>
    <t>R8P6N4</t>
  </si>
  <si>
    <t>4L2J0HYFWDUBS9Q7O5M3K1IZGX</t>
  </si>
  <si>
    <t>HYFWDU</t>
  </si>
  <si>
    <t>UBS9Q7O5M3K1IZGXEVCTAR8P6N</t>
  </si>
  <si>
    <t>7O5M3K</t>
  </si>
  <si>
    <t>K1IZGXEVCTAR8P6N4L2J0HYFWD</t>
  </si>
  <si>
    <t>XEVCTA</t>
  </si>
  <si>
    <t>AR8P6N4L2J0HYFWDUBS9Q7O5M3</t>
  </si>
  <si>
    <t>N4L2J0</t>
  </si>
  <si>
    <t>0HYFWDUBS9Q7O5M3K1IZGXEVCT</t>
  </si>
  <si>
    <t>DUBS9Q</t>
  </si>
  <si>
    <t>Q7O5M3K1IZGXEVCTAR8P6N4L2J</t>
  </si>
  <si>
    <t>3K1IZG</t>
  </si>
  <si>
    <t>GXEVCTAR8P6N4L2J0HYFWDUBS9</t>
  </si>
  <si>
    <t>TAR8P6</t>
  </si>
  <si>
    <t>6N4L2J0HYFWDUBS9Q7O5M3K1IZ</t>
  </si>
  <si>
    <t>J0HYFW</t>
  </si>
  <si>
    <t>WDUBS9Q7O5M3K1IZGXEVCTAR8P</t>
  </si>
  <si>
    <t>9Q7O5M</t>
  </si>
  <si>
    <t>M3K1IZGXEVCTAR8P6N4L2J0HYF</t>
  </si>
  <si>
    <t>ZGXEVC</t>
  </si>
  <si>
    <t>CTAR8P6N4L2J0HYFWDUBS9Q7O5</t>
  </si>
  <si>
    <t>P6N4L2</t>
  </si>
  <si>
    <t>2J0HYFWDUBS9Q7O5M3K1IZGXEV</t>
  </si>
  <si>
    <t>FWDUBS</t>
  </si>
  <si>
    <t>S9Q7O5M3K1IZGXEVCTAR8P6N4L</t>
  </si>
  <si>
    <t>5M3K1I</t>
  </si>
  <si>
    <t>IZGXEVCTAR8P6N4L2J0HYFWDUB</t>
  </si>
  <si>
    <t>VCTAR8</t>
  </si>
  <si>
    <t>8P6N4L2J0HYFWDUBS9Q7O5M3K1</t>
  </si>
  <si>
    <t>L2J0HY</t>
  </si>
  <si>
    <t>YFWDUBS9Q7O5M3K1IZGXEVCTAR</t>
  </si>
  <si>
    <t>BS9Q7O</t>
  </si>
  <si>
    <t>O5M3K1IZGXEVCTAR8P6N4L2J0H</t>
  </si>
  <si>
    <t>1IZGXE</t>
  </si>
  <si>
    <t>EVCTAR8P6N4L2J0HYFWDUBS9Q7</t>
  </si>
  <si>
    <t>R8P6N4</t>
  </si>
  <si>
    <t>4L2J0HYFWDUBS9Q7O5M3K1IZGX</t>
  </si>
  <si>
    <t>HYFWDU</t>
  </si>
  <si>
    <t>UBS9Q7O5M3K1IZGXEVCTAR8P6N</t>
  </si>
  <si>
    <t>7O5M3K</t>
  </si>
  <si>
    <t>K1IZGXEVCTAR8P6N4L2J0HYFWD</t>
  </si>
  <si>
    <t>XEVCTA</t>
  </si>
  <si>
    <t>AR8P6N4L2J0HYFWDUBS9Q7O5M3</t>
  </si>
  <si>
    <t>N4L2J0</t>
  </si>
  <si>
    <t>0HYFWDUBS9Q7O5M3K1IZGXEVCT</t>
  </si>
  <si>
    <t>DUBS9Q</t>
  </si>
  <si>
    <t>Q7O5M3K1IZGXEVCTAR8P6N4L2J</t>
  </si>
  <si>
    <t>3K1IZG</t>
  </si>
  <si>
    <t>GXEVCTAR8P6N4L2J0HYFWDUBS9</t>
  </si>
  <si>
    <t>TAR8P6</t>
  </si>
  <si>
    <t>6N4L2J0HYFWDUBS9Q7O5M3K1IZ</t>
  </si>
  <si>
    <t>J0HYFW</t>
  </si>
  <si>
    <t>WDUBS9Q7O5M3K1IZGXEVCTAR8P</t>
  </si>
  <si>
    <t>9Q7O5M</t>
  </si>
  <si>
    <t>M3K1IZGXEVCTAR8P6N4L2J0HYF</t>
  </si>
  <si>
    <t>ZGXEVC</t>
  </si>
  <si>
    <t>CTAR8P6N4L2J0HYFWDUBS9Q7O5</t>
  </si>
  <si>
    <t>P6N4L2</t>
  </si>
  <si>
    <t>2J0HYFWDUBS9Q7O5M3K1IZGXEV</t>
  </si>
  <si>
    <t>FWDUBS</t>
  </si>
  <si>
    <t>S9Q7O5M3K1IZGXEVCTAR8P6N4L</t>
  </si>
  <si>
    <t>5M3K1IZ</t>
  </si>
  <si>
    <t>IZGXEVCTAR8P6N4L2J0HYFWDUBS</t>
  </si>
  <si>
    <t>VCTAR8P</t>
  </si>
  <si>
    <t>8P6N4L2J0HYFWDUBS9Q7O5M3K1I</t>
  </si>
  <si>
    <t>L2J0HYF</t>
  </si>
  <si>
    <t>YFWDUBS9Q7O5M3K1IZGXEVCTAR8</t>
  </si>
  <si>
    <t>BS9Q7O5</t>
  </si>
  <si>
    <t>O5M3K1IZGXEVCTAR8P6N4L2J0HY</t>
  </si>
  <si>
    <t>1IZGXEV</t>
  </si>
  <si>
    <t>EVCTAR8P6N4L2J0HYFWDUBS9Q7O</t>
  </si>
  <si>
    <t>R8P6N4L</t>
  </si>
  <si>
    <t>4L2J0HYFWDUBS9Q7O5M3K1IZGXE</t>
  </si>
  <si>
    <t>HYFWDUB</t>
  </si>
  <si>
    <t>UBS9Q7O5M3K1IZGXEVCTAR8P6N4</t>
  </si>
  <si>
    <t>7O5M3K1</t>
  </si>
  <si>
    <t>K1IZGXEVCTAR8P6N4L2J0HYFWDU</t>
  </si>
  <si>
    <t>XEVCTAR</t>
  </si>
  <si>
    <t>AR8P6N4L2J0HYFWDUBS9Q7O5M3K</t>
  </si>
  <si>
    <t>N4L2J0H</t>
  </si>
  <si>
    <t>0HYFWDUBS9Q7O5M3K1IZGXEVCTA</t>
  </si>
  <si>
    <t>DUBS9Q7</t>
  </si>
  <si>
    <t>Q7O5M3K1IZGXEVCTAR8P6N4L2J0</t>
  </si>
  <si>
    <t>3K1IZGX</t>
  </si>
  <si>
    <t>GXEVCTAR8P6N4L2J0HYFWDUBS9Q</t>
  </si>
  <si>
    <t>TAR8P6N</t>
  </si>
  <si>
    <t>6N4L2J0HYFWDUBS9Q7O5M3K1IZG</t>
  </si>
  <si>
    <t>J0HYFWD</t>
  </si>
  <si>
    <t>WDUBS9Q7O5M3K1IZGXEVCTAR8P6</t>
  </si>
  <si>
    <t>9Q7O5M3</t>
  </si>
  <si>
    <t>M3K1IZGXEVCTAR8P6N4L2J0HYFW</t>
  </si>
  <si>
    <t>ZGXEVCT</t>
  </si>
  <si>
    <t>CTAR8P6N4L2J0HYFWDUBS9Q7O5M</t>
  </si>
  <si>
    <t>P6N4L2J</t>
  </si>
  <si>
    <t>2J0HYFWDUBS9Q7O5M3K1IZGXEVC</t>
  </si>
  <si>
    <t>FWDUBS9</t>
  </si>
  <si>
    <t>S9Q7O5M3K1IZGXEVCTAR8P6N4L2</t>
  </si>
  <si>
    <t>5M3K1IZ</t>
  </si>
  <si>
    <t>IZGXEVCTAR8P6N4L2J0HYFWDUBS</t>
  </si>
  <si>
    <t>VCTAR8P</t>
  </si>
  <si>
    <t>8P6N4L2J0HYFWDUBS9Q7O5M3K1I</t>
  </si>
  <si>
    <t>L2J0HYF</t>
  </si>
  <si>
    <t>YFWDUBS9Q7O5M3K1IZGXEVCTAR8</t>
  </si>
  <si>
    <t>BS9Q7O5</t>
  </si>
  <si>
    <t>O5M3K1IZGXEVCTAR8P6N4L2J0HY</t>
  </si>
  <si>
    <t>1IZGXEV</t>
  </si>
  <si>
    <t>EVCTAR8P6N4L2J0HYFWDUBS9Q7O</t>
  </si>
  <si>
    <t>R8P6N4L</t>
  </si>
  <si>
    <t>4L2J0HYFWDUBS9Q7O5M3K1IZGXE</t>
  </si>
  <si>
    <t>HYFWDUB</t>
  </si>
  <si>
    <t>UBS9Q7O5M3K1IZGXEVCTAR8P6N4</t>
  </si>
  <si>
    <t>7O5M3K1</t>
  </si>
  <si>
    <t>K1IZGXEVCTAR8P6N4L2J0HYFWDU</t>
  </si>
  <si>
    <t>XEVCTAR</t>
  </si>
  <si>
    <t>AR8P6N4L2J0HYFWDUBS9Q7O5M3K</t>
  </si>
  <si>
    <t>N4L2J0H</t>
  </si>
  <si>
    <t>0HYFWDUBS9Q7O5M3K1IZGXEVCTA</t>
  </si>
  <si>
    <t>DUBS9Q7</t>
  </si>
  <si>
    <t>Q7O5M3K1IZGXEVCTAR8P6N4L2J0</t>
  </si>
  <si>
    <t>3K1IZGX</t>
  </si>
  <si>
    <t>GXEVCTAR8P6N4L2J0HYFWDUBS9Q</t>
  </si>
  <si>
    <t>TAR8P6N</t>
  </si>
  <si>
    <t>6N4L2J0HYFWDUBS9Q7O5M3K1IZG</t>
  </si>
  <si>
    <t>J0HYFWD</t>
  </si>
  <si>
    <t>WDUBS9Q7O5M3K1IZGXEVCTAR8P6</t>
  </si>
  <si>
    <t>9Q7O5M3</t>
  </si>
  <si>
    <t>M3K1IZGXEVCTAR8P6N4L2J0HYFW</t>
  </si>
  <si>
    <t>ZGXEVCT</t>
  </si>
  <si>
    <t>CTAR8P6N4L2J0HYFWDUBS9Q7O5M</t>
  </si>
  <si>
    <t>P6N4L2J</t>
  </si>
  <si>
    <t>2J0HYFWDUBS9Q7O5M3K1IZGXEVC</t>
  </si>
  <si>
    <t>FWDUBS9</t>
  </si>
  <si>
    <t>S9Q7O5M3K1IZGXEVCTAR8P6N4L2</t>
  </si>
  <si>
    <t>5M3K1IZ</t>
  </si>
  <si>
    <t>IZGXEVCTAR8P6N4L2J0HYFWDUBS</t>
  </si>
  <si>
    <t>VCTAR8P</t>
  </si>
  <si>
    <t>8P6N4L2J0HYFWDUBS9Q7O5M3K1I</t>
  </si>
  <si>
    <t>L2J0HYF</t>
  </si>
  <si>
    <t>YFWDUBS9Q7O5M3K1IZGXEVCTAR8</t>
  </si>
  <si>
    <t>BS9Q7O5</t>
  </si>
  <si>
    <t>O5M3K1IZGXEVCTAR8P6N4L2J0HY</t>
  </si>
  <si>
    <t>1IZGXEV</t>
  </si>
  <si>
    <t>EVCTAR8P6N4L2J0HYFWDUBS9Q7O</t>
  </si>
  <si>
    <t>R8P6N4L</t>
  </si>
  <si>
    <t>4L2J0HYFWDUBS9Q7O5M3K1IZGXE</t>
  </si>
  <si>
    <t>HYFWDUB</t>
  </si>
  <si>
    <t>UBS9Q7O5M3K1IZGXEVCTAR8P6N4</t>
  </si>
  <si>
    <t>7O5M3K1</t>
  </si>
  <si>
    <t>K1IZGXEVCTAR</t>
  </si>
  <si>
    <t>XEVCTAR8P6N4L2J0HYFWDUBS9Q7</t>
  </si>
  <si>
    <t>AR8P6N4</t>
  </si>
  <si>
    <t>N4L2J0HYFWDUBS9Q7O5M3K1IZGX</t>
  </si>
  <si>
    <t>0HYFWDU</t>
  </si>
  <si>
    <t>DUBS9Q7O5M3K1IZGXEVCTAR8P6N</t>
  </si>
  <si>
    <t>Q7O5M3K</t>
  </si>
  <si>
    <t>3K1IZGXEVCTAR8P6N4L2J0HYFWD</t>
  </si>
  <si>
    <t>GXEVCTA</t>
  </si>
  <si>
    <t>TAR8P6N4L2J0HYFWDUBS9Q7O5M3</t>
  </si>
  <si>
    <t>6N4L2J0</t>
  </si>
  <si>
    <t>J0HYFWDUBS9Q7O5M3K1IZGXEVCT</t>
  </si>
  <si>
    <t>WDUBS9Q</t>
  </si>
  <si>
    <t>9Q7O5M3K1IZGXEVCTAR8P6N4L2J</t>
  </si>
  <si>
    <t>M3K1IZG</t>
  </si>
  <si>
    <t>ZGXEVCTAR8P6N4L2J0HYFWDUBS9</t>
  </si>
  <si>
    <t>CTAR8P6</t>
  </si>
  <si>
    <t>P6N4L2J0HYFWDUBS9Q7O5M3K1IZ</t>
  </si>
  <si>
    <t>2J0HYFW</t>
  </si>
  <si>
    <t>FWDUBS9Q7O5M3K1IZGXEVCTAR8P</t>
  </si>
  <si>
    <t>S9Q7O5M</t>
  </si>
  <si>
    <t>5M3K1IZGXEVCTAR8P6N4L2J0HYF</t>
  </si>
  <si>
    <t>IZGXEVC</t>
  </si>
  <si>
    <t>VCTAR8P6N4L2J0HYFWDUBS9Q7O5</t>
  </si>
  <si>
    <t>8P6N4L2</t>
  </si>
  <si>
    <t>L2J0HYFWDUBS9Q7O5M3K1IZGXEV</t>
  </si>
  <si>
    <t>YFWD</t>
  </si>
  <si>
    <t>BS9Q7O5</t>
  </si>
  <si>
    <t>O5M3K1IZGXEVCTAR8P6N4L2J0HY</t>
  </si>
  <si>
    <t>1IZGXEV</t>
  </si>
  <si>
    <t>EVCTAR8P6N4L2J0HYFWDUBS9Q7O</t>
  </si>
  <si>
    <t>R8P6N4L</t>
  </si>
  <si>
    <t>4L2J0HYFWDUBS9Q7O5M3K1IZGXE</t>
  </si>
  <si>
    <t>HYFWDUB</t>
  </si>
  <si>
    <t>UBS9Q7O5M3K1IZGXEVCTAR8P6N4</t>
  </si>
  <si>
    <t>7O5M3K1</t>
  </si>
  <si>
    <t>K1IZGXEVCTAR8P6N4L2J0HYFWDU</t>
  </si>
  <si>
    <t>XEVCTAR</t>
  </si>
  <si>
    <t>AR8P6N4L2J0HYFWDUBS9Q7O5M3K</t>
  </si>
  <si>
    <t>N4L2J0H</t>
  </si>
  <si>
    <t>0HYFWDUBS9Q7O5M3K1IZGXEVCTA</t>
  </si>
  <si>
    <t>DUBS9Q7</t>
  </si>
  <si>
    <t>Q7O5M3K1IZGXEVCTAR8P6N4L2J0</t>
  </si>
  <si>
    <t>3K1IZGX</t>
  </si>
  <si>
    <t>GXEVCTAR8P6N4L2J0HYFWDUBS9Q</t>
  </si>
  <si>
    <t>TAR8P6N</t>
  </si>
  <si>
    <t>6N4L2J0HYFWDUBS9Q7O5M3K1IZG</t>
  </si>
  <si>
    <t>J0HYFWD</t>
  </si>
  <si>
    <t>WDUBS9Q7O5M3K1IZGXEVCTAR8P6</t>
  </si>
  <si>
    <t>9Q7O5M3</t>
  </si>
  <si>
    <t>M3K1IZGXEVCTAR8P6N4L2J0HYFW</t>
  </si>
  <si>
    <t>ZGXEVCT</t>
  </si>
  <si>
    <t>CTAR8P6N4L2J0HYFWDUBS9Q7O5M</t>
  </si>
  <si>
    <t>P6N4L2J</t>
  </si>
  <si>
    <t>2J0HYFWDUBS9Q7O5M3K1IZGXEVC</t>
  </si>
  <si>
    <t>FWDUBS9</t>
  </si>
  <si>
    <t>S9Q7O5M3K1IZGXEVCTAR8P6N4L2</t>
  </si>
  <si>
    <t>5M3K1IZ</t>
  </si>
  <si>
    <t>IZGXEVCTAR8P6N4L2J0HYFWDUBS</t>
  </si>
  <si>
    <t>VCTAR8P</t>
  </si>
  <si>
    <t>8P6N4L2J0HYFWDUBS9Q7O5M3K1I</t>
  </si>
  <si>
    <t>L2J0HYF</t>
  </si>
  <si>
    <t>YFWDUBS9Q7O5M3K1IZGXEVCTAR8</t>
  </si>
  <si>
    <t>BS9Q7O5</t>
  </si>
  <si>
    <t>O5M3K1IZGXEVCTAR8P6N4L2J0HY</t>
  </si>
  <si>
    <t>1IZGXEV</t>
  </si>
  <si>
    <t>EVCTAR8P6N4L2J0HYFWDUBS9Q7O</t>
  </si>
  <si>
    <t>R8P6N4L</t>
  </si>
  <si>
    <t>4L2J0HYFWDUBS9Q7O5M3K1IZGXE</t>
  </si>
  <si>
    <t>HYFWDUB</t>
  </si>
  <si>
    <t>UBS9Q7O5M3K1IZGXEVCTAR8P6N4</t>
  </si>
  <si>
    <t>7O5M3K1</t>
  </si>
  <si>
    <t>K1IZGXEVCTAR8P6N4L2J0HYFWDU</t>
  </si>
  <si>
    <t>XEVCTAR</t>
  </si>
  <si>
    <t>AR8P6N4L2J0HYFWDUBS9Q7O5M3K</t>
  </si>
  <si>
    <t>N4L2J0H</t>
  </si>
  <si>
    <t>0HYFWDUBS9Q7O5M3K1IZGXEVCTA</t>
  </si>
  <si>
    <t>DUBS9Q7</t>
  </si>
  <si>
    <t>Q7O5M3K1IZGXEVCTAR8P6N4L2J0</t>
  </si>
  <si>
    <t>3K1IZGX</t>
  </si>
  <si>
    <t>GXEVCTAR8P6N4L2J0HYFWDUBS9Q</t>
  </si>
  <si>
    <t>TAR8P6N</t>
  </si>
  <si>
    <t>6N4L2J0HYFWDUBS9Q7O5M3K1IZG</t>
  </si>
  <si>
    <t>J0HYFWD</t>
  </si>
  <si>
    <t>WDUBS9Q7O5M3K1IZGXEVCTAR8P6</t>
  </si>
  <si>
    <t>9Q7O5M3</t>
  </si>
  <si>
    <t>M3K1IZGXEVCTAR8P6N4L2J0HYFW</t>
  </si>
  <si>
    <t>ZGXEVCT</t>
  </si>
  <si>
    <t>CTAR8P6N4L2J0HYFWDUBS9Q7O5M</t>
  </si>
  <si>
    <t>P6N4L2J</t>
  </si>
  <si>
    <t>2J0HYFWDUBS9Q7O5M3K1IZGXEVC</t>
  </si>
  <si>
    <t>FWDUBS9</t>
  </si>
  <si>
    <t>S9Q7O5M3K1IZGXEVCTAR8P6N4L2</t>
  </si>
  <si>
    <t>5M3K1IZ</t>
  </si>
  <si>
    <t>IZGXEVCTAR8P6N4L2J0HYFWDUBS</t>
  </si>
  <si>
    <t>VCTAR8P</t>
  </si>
  <si>
    <t>8P6N4L2J0HYFWDUBS9Q7O5M3K1I</t>
  </si>
  <si>
    <t>L2J0HYF</t>
  </si>
  <si>
    <t>YFWDUBS9Q7O5M3K1IZGXEVCTAR8</t>
  </si>
  <si>
    <t>BS9Q7O5</t>
  </si>
  <si>
    <t>O5M3K1IZGXEVCTAR8P6N4L2J0HY</t>
  </si>
  <si>
    <t>1IZGXEV</t>
  </si>
  <si>
    <t>EVCTAR8P6N4L2J0HYFWDUBS9Q7O</t>
  </si>
  <si>
    <t>R8P6N4L</t>
  </si>
  <si>
    <t>4L2J0HYFWDUBS9Q7O5M3K1IZGXE</t>
  </si>
  <si>
    <t>HYFWDUB</t>
  </si>
  <si>
    <t>UBS9Q7O5M3K1IZGXEVCTAR8P6N4</t>
  </si>
  <si>
    <t>7O5M3K1</t>
  </si>
  <si>
    <t>K1IZGXEVCTAR8P6N4L2J0HYFWDU</t>
  </si>
  <si>
    <t>XEVCTAR</t>
  </si>
  <si>
    <t>AR8P6N4L2J0HYFWDUBS9Q7O5M3K</t>
  </si>
  <si>
    <t>N4L2J0H</t>
  </si>
  <si>
    <t>0HYFWDUBS9Q7O5M3K1IZGXEVCTA</t>
  </si>
  <si>
    <t>DUBS9Q7</t>
  </si>
  <si>
    <t>Q7O5M3K1IZGXEVCTAR8P6N4L2J0</t>
  </si>
  <si>
    <t>3K1IZGX</t>
  </si>
  <si>
    <t>GXEVCTAR8P6N4L2J0HYFWDUBS9Q</t>
  </si>
  <si>
    <t>TAR8P6N</t>
  </si>
  <si>
    <t>6N4L2J0HYFWDUBS9Q7O5M3K1IZG</t>
  </si>
  <si>
    <t>J0HYFWD</t>
  </si>
  <si>
    <t>WDUBS9Q7O5M3K1IZGXEVCTAR8P6</t>
  </si>
  <si>
    <t>9Q7O5M3</t>
  </si>
  <si>
    <t>M3K1IZGXEVCTAR8P6N4L2J0HYFW</t>
  </si>
  <si>
    <t>ZGXEVCT</t>
  </si>
  <si>
    <t>CTAR8P6N4L2J0HYFWDUBS9Q7O5M</t>
  </si>
  <si>
    <t>P6N4L2J</t>
  </si>
  <si>
    <t>2J0HYFWDUBS9Q7O5M3K1IZGXEVC</t>
  </si>
  <si>
    <t>FWDUBS9</t>
  </si>
  <si>
    <t>S9Q7O5M3K1IZGXEVCTAR8P6N4L2</t>
  </si>
  <si>
    <t>5M3K1IZ</t>
  </si>
  <si>
    <t>IZGXEVCTAR8P6N4L2J0HYFWDUBS</t>
  </si>
  <si>
    <t>VCTAR8P</t>
  </si>
  <si>
    <t>8P6N4L2J0HYFWDUBS9Q7O5M3K1I</t>
  </si>
  <si>
    <t>L2J0HYF</t>
  </si>
  <si>
    <t>YFWDUBS9Q7O5M3K1IZGXEVCTAR8</t>
  </si>
  <si>
    <t>BS9Q7O5</t>
  </si>
  <si>
    <t>O5M3K1IZGXEVCTAR8P6N4L2J0HY</t>
  </si>
  <si>
    <t>1IZGXEV</t>
  </si>
  <si>
    <t>EVCTAR8P6N4L2J0HYFWDUBS9Q7O</t>
  </si>
  <si>
    <t>R8P6N4L</t>
  </si>
  <si>
    <t>4L2J0HYFWDUBS9Q7O5M3K1IZGXE</t>
  </si>
  <si>
    <t>HYFWDUB</t>
  </si>
  <si>
    <t>UBS9Q7O5M3K1IZGXEVCTAR8P6N4</t>
  </si>
  <si>
    <t>7O5M3K1</t>
  </si>
  <si>
    <t>K1IZGXEVCTAR8P6N4L2J0HYFWDU</t>
  </si>
  <si>
    <t>XEVCTAR</t>
  </si>
  <si>
    <t>AR8P6N4L2J0HYFWDUBS9Q7O5M3K</t>
  </si>
  <si>
    <t>N4L2J0H</t>
  </si>
  <si>
    <t>0HYFWDUBS9Q7O5M3K1IZGXEVCTA</t>
  </si>
  <si>
    <t>DUBS9Q7</t>
  </si>
  <si>
    <t>Q7O5M3K1IZGXEVCTAR8P6N4L2J0</t>
  </si>
  <si>
    <t>3K1IZGX</t>
  </si>
  <si>
    <t>GXEVCTAR8P6N4L2J0HYFWDUBS9Q</t>
  </si>
  <si>
    <t>TAR8P6N</t>
  </si>
  <si>
    <t>6N4L2J0HYFWDUBS9Q7O5M3K1IZG</t>
  </si>
  <si>
    <t>J0HYFWD</t>
  </si>
  <si>
    <t>WDUBS9Q7O5M3K1IZGXEVCTAR8P6</t>
  </si>
  <si>
    <t>9Q7O5M3</t>
  </si>
  <si>
    <t>M3K1IZGXEVCTAR8P6N4L2J0HYFW</t>
  </si>
  <si>
    <t>ZGXEVCT</t>
  </si>
  <si>
    <t>CTAR8P6N4L2J0HYFWDUBS9Q7O5M</t>
  </si>
  <si>
    <t>P6N4L2J</t>
  </si>
  <si>
    <t>2J0HYFWDUBS9Q7O5M3K1IZGXEVC</t>
  </si>
  <si>
    <t>FWDUBS9</t>
  </si>
  <si>
    <t>S9Q7O5M3K1IZGXEVCTAR8P6N4L2</t>
  </si>
  <si>
    <t>5M3K1IZ</t>
  </si>
  <si>
    <t>IZGXEVCTAR8P6N4L2J0HYFWDUBS</t>
  </si>
  <si>
    <t>VCTAR8P</t>
  </si>
  <si>
    <t>8P6N4L2J0HYFWDUBS9Q7O5M3K1I</t>
  </si>
  <si>
    <t>L2J0HYF</t>
  </si>
  <si>
    <t>YFWDUBS9Q7O5M3K1IZGXEVCTAR8</t>
  </si>
  <si>
    <t>BS9Q7O5</t>
  </si>
  <si>
    <t>O5M3K1IZGXEVCTAR8P6N4L2J0HY</t>
  </si>
  <si>
    <t>1IZGXEV</t>
  </si>
  <si>
    <t>EVCTAR8P6N4L2J0HYFWDUBS9Q7O</t>
  </si>
  <si>
    <t>R8P6N4L</t>
  </si>
  <si>
    <t>4L2J0HYFWDUBS9Q7O5M3K1IZGXE</t>
  </si>
  <si>
    <t>HYFWDUB</t>
  </si>
  <si>
    <t>UBS9Q7O5M3K1IZGXEVCTAR8P6N4</t>
  </si>
  <si>
    <t>7O5M3K1</t>
  </si>
  <si>
    <t>K1IZGXEVCTAR8P6N4L2J0HYFWDU</t>
  </si>
  <si>
    <t>XEVCTAR</t>
  </si>
  <si>
    <t>AR8P6N4L2J0HYFWDUBS9Q7O5M3K</t>
  </si>
  <si>
    <t>N4L2J0H</t>
  </si>
  <si>
    <t>0HYFWDUBS9Q7O5M3K1IZGXEVCTA</t>
  </si>
  <si>
    <t>DUBS9Q7</t>
  </si>
  <si>
    <t>Q7O5M3K1IZGXEVCTAR8P6N4L2J0</t>
  </si>
  <si>
    <t>3K1IZGX</t>
  </si>
  <si>
    <t>GXEVCTAR8P6N4L2J0HYFWDUBS9Q</t>
  </si>
  <si>
    <t>TAR8P6N</t>
  </si>
  <si>
    <t>6N4L2J0HYFWDUBS9Q7O5M3K1IZG</t>
  </si>
  <si>
    <t>J0HYFWD</t>
  </si>
  <si>
    <t>WDUBS9Q7O5M3K1IZGXEVCTAR8P6</t>
  </si>
  <si>
    <t>9Q7O5M3</t>
  </si>
  <si>
    <t>M3K1IZGXEVCTAR8P6N4L2J0HYFW</t>
  </si>
  <si>
    <t/>
  </si>
  <si>
    <t>CTAR8P6</t>
  </si>
  <si>
    <t>P6N4L2J0HYFWDUBS9Q7O5M3K1IZ</t>
  </si>
  <si>
    <t>2J0HY</t>
  </si>
  <si>
    <t>FWDU</t>
  </si>
  <si>
    <t>S9Q7O5M3K1IZGXEVCTAR8P6</t>
  </si>
  <si>
    <t>5M3K1</t>
  </si>
  <si>
    <t>IZGXEV</t>
  </si>
  <si>
    <t>VCTAR8P6N4L2J0</t>
  </si>
  <si>
    <t>8P6N4</t>
  </si>
  <si>
    <t>L2J0HY</t>
  </si>
  <si>
    <t>YFWDUBS9Q7O5M3K1IZG</t>
  </si>
  <si>
    <t>BS9Q7</t>
  </si>
  <si>
    <t>O5M3K</t>
  </si>
  <si>
    <t>1IZGXEVCTAR8P6N</t>
  </si>
  <si>
    <t>EVCT</t>
  </si>
  <si>
    <t>R8P6N4L2J0HYFWDUBS</t>
  </si>
  <si>
    <t>4L2J0HY</t>
  </si>
  <si>
    <t>HYFWDUBS9Q7O5M3K1</t>
  </si>
  <si>
    <t>UBS9Q</t>
  </si>
  <si>
    <t>7O5M3</t>
  </si>
  <si>
    <t>K1IZG</t>
  </si>
  <si>
    <t>XEVCT</t>
  </si>
  <si>
    <t>AR8P6</t>
  </si>
  <si>
    <t>N4L2J</t>
  </si>
  <si>
    <t>0HYFW</t>
  </si>
  <si>
    <t>DUBS9Q</t>
  </si>
  <si>
    <t>Q7O5M3</t>
  </si>
  <si>
    <t>3K1IZG</t>
  </si>
  <si>
    <t>GXEVCT</t>
  </si>
  <si>
    <t>TAR8P6</t>
  </si>
  <si>
    <t>6N4L2J</t>
  </si>
  <si>
    <t>J0HYFWDUB</t>
  </si>
  <si>
    <t>WDUBS</t>
  </si>
  <si>
    <t>9Q7O5M3K1IZ</t>
  </si>
  <si>
    <t>M3K1IZGXEVCTAR</t>
  </si>
  <si>
    <t>ZGXEVCTA</t>
  </si>
  <si>
    <t>CTAR8P6</t>
  </si>
  <si>
    <t>P6N4L2J0</t>
  </si>
  <si>
    <t>2J0HYFW</t>
    <phoneticPr fontId="9" type="noConversion"/>
  </si>
  <si>
    <t>FWDUBS9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</si>
</sst>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charset val="134"/>
      <scheme val="minor"/>
    </font>
    <font>
      <sz val="10"/>
      <color theme="1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0"/>
      <name val="微软雅黑"/>
      <family val="2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30417798394724"/>
        <bgColor indexed="64"/>
      </patternFill>
    </fill>
    <fill>
      <patternFill patternType="solid">
        <fgColor theme="4" tint="0.39933469649342324"/>
        <bgColor indexed="64"/>
      </patternFill>
    </fill>
    <fill>
      <patternFill patternType="solid">
        <fgColor theme="4" tint="0.399365215002899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30417798394724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8" fillId="0" borderId="0">
      <alignment vertical="center"/>
    </xf>
  </cellStyleXfs>
  <cellXfs count="2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2" fillId="2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left" vertical="center" wrapText="1"/>
    </xf>
    <xf numFmtId="49" fontId="2" fillId="2" borderId="2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left" vertical="center"/>
    </xf>
    <xf numFmtId="49" fontId="2" fillId="6" borderId="1" xfId="0" applyNumberFormat="1" applyFont="1" applyFill="1" applyBorder="1" applyAlignment="1">
      <alignment horizontal="left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/>
    </xf>
    <xf numFmtId="0" fontId="2" fillId="7" borderId="1" xfId="0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49" fontId="3" fillId="9" borderId="1" xfId="0" applyNumberFormat="1" applyFont="1" applyFill="1" applyBorder="1" applyAlignment="1">
      <alignment horizontal="center" vertical="center"/>
    </xf>
  </cellXfs>
  <cellStyles count="2">
    <cellStyle name="常规" xfId="0" builtinId="0"/>
    <cellStyle name="常规 2" xfId="1" xr:uid="{00000000-0005-0000-0000-000031000000}"/>
  </cellStyles>
  <dxfs count="28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xample.invalid/resource/1" TargetMode="External"/><Relationship Id="rId1" Type="http://schemas.openxmlformats.org/officeDocument/2006/relationships/externalLinkPath" Target="https://example.invalid/resource/2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xample.invalid/resource/1" TargetMode="External"/><Relationship Id="rId1" Type="http://schemas.openxmlformats.org/officeDocument/2006/relationships/externalLinkPath" Target="https://example.invalid/resource/2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xample.invalid/resource/1" TargetMode="External"/><Relationship Id="rId1" Type="http://schemas.openxmlformats.org/officeDocument/2006/relationships/externalLinkPath" Target="https://example.invalid/resource/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Sheet2"/>
      <sheetName val="Sheet3"/>
    </sheetNames>
    <sheetDataSet>
      <sheetData sheetId="0">
        <row r="1">
          <cell r="A1" t="str">
            <v>AR8P6N4L2J0HYFWDU</v>
          </cell>
        </row>
        <row r="2">
          <cell r="A2" t="str">
            <v>N4</v>
          </cell>
          <cell r="G2" t="str">
            <v>0</v>
          </cell>
        </row>
        <row r="3">
          <cell r="A3" t="str">
            <v>DUB</v>
          </cell>
          <cell r="G3" t="str">
            <v>Q7O5M3</v>
          </cell>
        </row>
        <row r="4">
          <cell r="A4" t="str">
            <v>3K</v>
          </cell>
          <cell r="G4" t="str">
            <v>G</v>
          </cell>
        </row>
        <row r="5">
          <cell r="A5" t="str">
            <v>TAR</v>
          </cell>
          <cell r="G5" t="str">
            <v>6</v>
          </cell>
        </row>
        <row r="6">
          <cell r="A6" t="str">
            <v>J0H</v>
          </cell>
          <cell r="G6" t="str">
            <v>WD</v>
          </cell>
        </row>
        <row r="7">
          <cell r="A7">
            <v>3074</v>
          </cell>
          <cell r="G7" t="str">
            <v>9Q7O5</v>
          </cell>
        </row>
        <row r="8">
          <cell r="A8">
            <v>4185</v>
          </cell>
          <cell r="G8" t="str">
            <v>M3K1IZ</v>
          </cell>
        </row>
        <row r="9">
          <cell r="A9">
            <v>5296</v>
          </cell>
          <cell r="G9" t="str">
            <v>ZGXEVC</v>
          </cell>
        </row>
        <row r="10">
          <cell r="A10">
            <v>6307</v>
          </cell>
          <cell r="G10" t="str">
            <v>CTAR</v>
          </cell>
        </row>
        <row r="11">
          <cell r="A11">
            <v>741852</v>
          </cell>
          <cell r="G11" t="str">
            <v>P6N4L2</v>
          </cell>
        </row>
        <row r="12">
          <cell r="A12">
            <v>852963</v>
          </cell>
          <cell r="G12" t="str">
            <v>2J0HYFW</v>
          </cell>
        </row>
        <row r="13">
          <cell r="A13">
            <v>963074</v>
          </cell>
          <cell r="G13" t="str">
            <v>FWDU</v>
          </cell>
        </row>
        <row r="14">
          <cell r="A14">
            <v>174185</v>
          </cell>
          <cell r="G14" t="str">
            <v>S9Q7O</v>
          </cell>
        </row>
        <row r="15">
          <cell r="A15">
            <v>185296</v>
          </cell>
          <cell r="G15" t="str">
            <v>5M3K1I</v>
          </cell>
        </row>
        <row r="16">
          <cell r="A16">
            <v>296307</v>
          </cell>
          <cell r="G16" t="str">
            <v>IZGX</v>
          </cell>
        </row>
        <row r="17">
          <cell r="A17">
            <v>307418</v>
          </cell>
          <cell r="G17" t="str">
            <v>VCTAR</v>
          </cell>
        </row>
        <row r="18">
          <cell r="A18">
            <v>4185</v>
          </cell>
          <cell r="G18" t="str">
            <v>8P6N4L</v>
          </cell>
        </row>
        <row r="19">
          <cell r="A19">
            <v>529630</v>
          </cell>
          <cell r="G19" t="str">
            <v>L2J0HY</v>
          </cell>
        </row>
        <row r="20">
          <cell r="A20">
            <v>6307</v>
          </cell>
          <cell r="G20" t="str">
            <v>YFWDUBS</v>
          </cell>
        </row>
        <row r="21">
          <cell r="A21">
            <v>7418</v>
          </cell>
          <cell r="G21" t="str">
            <v>BS9Q7O5</v>
          </cell>
        </row>
        <row r="22">
          <cell r="A22">
            <v>8529</v>
          </cell>
          <cell r="G22" t="str">
            <v>O5M3K</v>
          </cell>
        </row>
        <row r="23">
          <cell r="A23">
            <v>9630</v>
          </cell>
          <cell r="G23" t="str">
            <v>1IZGXEV</v>
          </cell>
        </row>
        <row r="24">
          <cell r="A24">
            <v>1741</v>
          </cell>
          <cell r="G24" t="str">
            <v>EVCTAR8</v>
          </cell>
        </row>
        <row r="25">
          <cell r="A25">
            <v>1852</v>
          </cell>
          <cell r="G25" t="str">
            <v>R8P6N</v>
          </cell>
        </row>
        <row r="26">
          <cell r="A26">
            <v>296307</v>
          </cell>
          <cell r="G26" t="str">
            <v>4L2J0HY</v>
          </cell>
        </row>
        <row r="27">
          <cell r="A27">
            <v>307418</v>
          </cell>
          <cell r="G27" t="str">
            <v>HYFWDU</v>
          </cell>
        </row>
        <row r="28">
          <cell r="A28">
            <v>4185</v>
          </cell>
          <cell r="G28" t="str">
            <v>UBS9Q</v>
          </cell>
        </row>
        <row r="29">
          <cell r="A29">
            <v>529630</v>
          </cell>
          <cell r="G29" t="str">
            <v>7O5M3K1I</v>
          </cell>
        </row>
        <row r="30">
          <cell r="A30">
            <v>630741</v>
          </cell>
          <cell r="G30" t="str">
            <v>K1IZGX</v>
          </cell>
        </row>
        <row r="31">
          <cell r="A31">
            <v>7418</v>
          </cell>
          <cell r="G31" t="str">
            <v>XEVCTA</v>
          </cell>
        </row>
        <row r="32">
          <cell r="A32">
            <v>8529</v>
          </cell>
          <cell r="G32" t="str">
            <v>AR8P6N</v>
          </cell>
        </row>
        <row r="33">
          <cell r="A33">
            <v>963074</v>
          </cell>
          <cell r="G33" t="str">
            <v>N4L2J0</v>
          </cell>
        </row>
        <row r="34">
          <cell r="A34">
            <v>1741</v>
          </cell>
          <cell r="G34" t="str">
            <v>0HYFW</v>
          </cell>
        </row>
        <row r="35">
          <cell r="A35">
            <v>185296</v>
          </cell>
          <cell r="G35" t="str">
            <v>DUBS9Q7O5</v>
          </cell>
        </row>
        <row r="36">
          <cell r="A36">
            <v>2963</v>
          </cell>
          <cell r="G36" t="str">
            <v>Q7O5M</v>
          </cell>
        </row>
        <row r="37">
          <cell r="A37">
            <v>307418</v>
          </cell>
          <cell r="G37" t="str">
            <v>3K1IZGXEV</v>
          </cell>
        </row>
        <row r="38">
          <cell r="A38">
            <v>4185</v>
          </cell>
          <cell r="G38" t="str">
            <v>GXEVC</v>
          </cell>
        </row>
        <row r="39">
          <cell r="A39">
            <v>5296</v>
          </cell>
          <cell r="G39" t="str">
            <v>TAR8P</v>
          </cell>
        </row>
        <row r="40">
          <cell r="A40">
            <v>6307</v>
          </cell>
          <cell r="G40" t="str">
            <v>6N4L2J</v>
          </cell>
        </row>
        <row r="41">
          <cell r="A41">
            <v>7418</v>
          </cell>
          <cell r="G41" t="str">
            <v>J0HYFWD</v>
          </cell>
        </row>
        <row r="42">
          <cell r="A42">
            <v>8529</v>
          </cell>
          <cell r="G42" t="str">
            <v>WDUBS9</v>
          </cell>
        </row>
        <row r="43">
          <cell r="A43">
            <v>9630</v>
          </cell>
          <cell r="G43" t="str">
            <v>9Q7O</v>
          </cell>
        </row>
        <row r="44">
          <cell r="A44">
            <v>1741</v>
          </cell>
          <cell r="G44" t="str">
            <v>M3K1IZG</v>
          </cell>
        </row>
        <row r="45">
          <cell r="A45">
            <v>1852</v>
          </cell>
          <cell r="G45" t="str">
            <v>ZGXE</v>
          </cell>
        </row>
        <row r="46">
          <cell r="A46">
            <v>296307</v>
          </cell>
          <cell r="G46" t="str">
            <v>CTAR8P6</v>
          </cell>
        </row>
        <row r="47">
          <cell r="A47">
            <v>307418</v>
          </cell>
          <cell r="G47" t="str">
            <v>P6N4L2J</v>
          </cell>
        </row>
        <row r="48">
          <cell r="A48">
            <v>4185</v>
          </cell>
          <cell r="G48" t="str">
            <v>2J0HY</v>
          </cell>
        </row>
        <row r="49">
          <cell r="A49">
            <v>529630</v>
          </cell>
          <cell r="G49" t="str">
            <v>FWDUBS</v>
          </cell>
        </row>
        <row r="50">
          <cell r="A50">
            <v>630741</v>
          </cell>
          <cell r="G50" t="str">
            <v>S9Q7O5M3K</v>
          </cell>
        </row>
        <row r="51">
          <cell r="A51">
            <v>7418</v>
          </cell>
          <cell r="G51" t="str">
            <v>5M3K1IZ</v>
          </cell>
        </row>
        <row r="52">
          <cell r="A52">
            <v>8529</v>
          </cell>
          <cell r="G52" t="str">
            <v>IZGXE</v>
          </cell>
        </row>
        <row r="53">
          <cell r="A53">
            <v>9630</v>
          </cell>
          <cell r="G53" t="str">
            <v>VCTAR8</v>
          </cell>
        </row>
        <row r="54">
          <cell r="A54">
            <v>1741</v>
          </cell>
          <cell r="G54" t="str">
            <v>8P6N4L2</v>
          </cell>
        </row>
        <row r="55">
          <cell r="A55">
            <v>1852</v>
          </cell>
          <cell r="G55" t="str">
            <v>L2J0HYFW</v>
          </cell>
        </row>
        <row r="56">
          <cell r="A56">
            <v>2963</v>
          </cell>
          <cell r="G56" t="str">
            <v>YFWDUB</v>
          </cell>
        </row>
        <row r="57">
          <cell r="A57">
            <v>3074</v>
          </cell>
          <cell r="G57" t="str">
            <v>BS9Q7O5M</v>
          </cell>
        </row>
        <row r="58">
          <cell r="A58">
            <v>4185</v>
          </cell>
          <cell r="G58" t="str">
            <v>O5M3</v>
          </cell>
        </row>
        <row r="59">
          <cell r="A59">
            <v>529630</v>
          </cell>
          <cell r="G59" t="str">
            <v>1IZGXEVC</v>
          </cell>
        </row>
        <row r="60">
          <cell r="A60">
            <v>630741</v>
          </cell>
          <cell r="G60" t="str">
            <v>EVCTA</v>
          </cell>
        </row>
        <row r="61">
          <cell r="A61">
            <v>741852</v>
          </cell>
          <cell r="G61" t="str">
            <v>R8P6N4L2J0</v>
          </cell>
        </row>
        <row r="62">
          <cell r="A62">
            <v>8529</v>
          </cell>
          <cell r="G62" t="str">
            <v>4L2J0</v>
          </cell>
        </row>
        <row r="63">
          <cell r="A63">
            <v>963074</v>
          </cell>
          <cell r="G63" t="str">
            <v>HYFWDUBS9Q</v>
          </cell>
        </row>
        <row r="64">
          <cell r="A64">
            <v>1741</v>
          </cell>
          <cell r="G64" t="str">
            <v>UBS9Q</v>
          </cell>
        </row>
        <row r="65">
          <cell r="A65">
            <v>1852</v>
          </cell>
          <cell r="G65" t="str">
            <v>7O5M3</v>
          </cell>
        </row>
        <row r="66">
          <cell r="A66">
            <v>2963</v>
          </cell>
          <cell r="G66" t="str">
            <v>K1IZG</v>
          </cell>
        </row>
        <row r="67">
          <cell r="A67">
            <v>307418</v>
          </cell>
          <cell r="G67" t="str">
            <v>XEVCTAR</v>
          </cell>
        </row>
        <row r="68">
          <cell r="A68">
            <v>418529</v>
          </cell>
          <cell r="G68" t="str">
            <v>AR8P6N4L</v>
          </cell>
        </row>
        <row r="69">
          <cell r="A69">
            <v>5296</v>
          </cell>
          <cell r="G69" t="str">
            <v>N4L2J0</v>
          </cell>
        </row>
        <row r="70">
          <cell r="A70">
            <v>630741</v>
          </cell>
          <cell r="G70" t="str">
            <v>0HYFWD</v>
          </cell>
        </row>
        <row r="71">
          <cell r="A71">
            <v>7418</v>
          </cell>
          <cell r="G71" t="str">
            <v>DUBS9</v>
          </cell>
        </row>
        <row r="72">
          <cell r="A72">
            <v>852963</v>
          </cell>
          <cell r="G72" t="str">
            <v>Q7O5M3</v>
          </cell>
        </row>
        <row r="73">
          <cell r="A73">
            <v>963074</v>
          </cell>
          <cell r="G73" t="str">
            <v>3K1IZGXEV</v>
          </cell>
        </row>
        <row r="74">
          <cell r="A74">
            <v>1741</v>
          </cell>
          <cell r="G74" t="str">
            <v>GXEVC</v>
          </cell>
        </row>
        <row r="75">
          <cell r="A75">
            <v>185296</v>
          </cell>
          <cell r="G75" t="str">
            <v>TAR8P</v>
          </cell>
        </row>
        <row r="76">
          <cell r="A76">
            <v>2963</v>
          </cell>
          <cell r="G76" t="str">
            <v>6N4L2</v>
          </cell>
        </row>
        <row r="77">
          <cell r="A77">
            <v>3074</v>
          </cell>
          <cell r="G77" t="str">
            <v>J0HYF</v>
          </cell>
        </row>
        <row r="78">
          <cell r="A78">
            <v>418529</v>
          </cell>
          <cell r="G78" t="str">
            <v>WDUBS9Q</v>
          </cell>
        </row>
        <row r="79">
          <cell r="A79">
            <v>529630</v>
          </cell>
          <cell r="G79" t="str">
            <v>9Q7O5M</v>
          </cell>
        </row>
        <row r="80">
          <cell r="A80">
            <v>630741</v>
          </cell>
          <cell r="G80" t="str">
            <v>M3K1IZ</v>
          </cell>
        </row>
        <row r="81">
          <cell r="A81">
            <v>741852</v>
          </cell>
          <cell r="G81" t="str">
            <v>ZGXEVC</v>
          </cell>
        </row>
        <row r="82">
          <cell r="A82">
            <v>8529</v>
          </cell>
          <cell r="G82" t="str">
            <v>CTAR8</v>
          </cell>
        </row>
        <row r="83">
          <cell r="A83">
            <v>9630</v>
          </cell>
          <cell r="G83" t="str">
            <v>P6N4</v>
          </cell>
        </row>
        <row r="84">
          <cell r="A84">
            <v>174185</v>
          </cell>
          <cell r="G84" t="str">
            <v>2J0H</v>
          </cell>
        </row>
        <row r="85">
          <cell r="A85">
            <v>1852</v>
          </cell>
          <cell r="G85" t="str">
            <v>FWDUB</v>
          </cell>
        </row>
        <row r="86">
          <cell r="A86">
            <v>2963</v>
          </cell>
          <cell r="G86" t="str">
            <v>S9Q7O</v>
          </cell>
        </row>
        <row r="87">
          <cell r="A87">
            <v>3074</v>
          </cell>
          <cell r="G87" t="str">
            <v>5M3K</v>
          </cell>
        </row>
        <row r="88">
          <cell r="A88">
            <v>418529</v>
          </cell>
          <cell r="G88" t="str">
            <v>IZGXEVC</v>
          </cell>
        </row>
        <row r="89">
          <cell r="A89">
            <v>529630</v>
          </cell>
          <cell r="G89" t="str">
            <v>VCTAR8P6N</v>
          </cell>
        </row>
        <row r="90">
          <cell r="A90">
            <v>6307</v>
          </cell>
          <cell r="G90" t="str">
            <v>8P6N4</v>
          </cell>
        </row>
        <row r="91">
          <cell r="A91">
            <v>7418</v>
          </cell>
          <cell r="G91" t="str">
            <v>L2J0H</v>
          </cell>
        </row>
        <row r="92">
          <cell r="A92">
            <v>8529</v>
          </cell>
          <cell r="G92" t="str">
            <v>YFWDU</v>
          </cell>
        </row>
        <row r="93">
          <cell r="A93">
            <v>9630</v>
          </cell>
          <cell r="G93" t="str">
            <v>BS9Q7O</v>
          </cell>
        </row>
        <row r="94">
          <cell r="A94">
            <v>1741</v>
          </cell>
          <cell r="G94" t="str">
            <v>O5M3K1</v>
          </cell>
        </row>
        <row r="95">
          <cell r="A95">
            <v>1852</v>
          </cell>
          <cell r="G95" t="str">
            <v>1IZGXE</v>
          </cell>
        </row>
        <row r="96">
          <cell r="A96">
            <v>2963</v>
          </cell>
          <cell r="G96" t="str">
            <v>EVCTAR</v>
          </cell>
        </row>
        <row r="97">
          <cell r="A97">
            <v>3074</v>
          </cell>
          <cell r="G97" t="str">
            <v>R8P6N4</v>
          </cell>
        </row>
        <row r="98">
          <cell r="A98">
            <v>4185</v>
          </cell>
          <cell r="G98" t="str">
            <v>4L2J0H</v>
          </cell>
        </row>
        <row r="99">
          <cell r="A99">
            <v>5296</v>
          </cell>
          <cell r="G99" t="str">
            <v>HYFW</v>
          </cell>
        </row>
        <row r="100">
          <cell r="A100">
            <v>6307</v>
          </cell>
          <cell r="G100" t="str">
            <v>UBS9Q7</v>
          </cell>
        </row>
        <row r="101">
          <cell r="A101">
            <v>7418</v>
          </cell>
          <cell r="G101" t="str">
            <v>7O5M3K1IZ</v>
          </cell>
        </row>
        <row r="102">
          <cell r="A102">
            <v>852963</v>
          </cell>
          <cell r="G102" t="str">
            <v>K1IZ</v>
          </cell>
        </row>
        <row r="103">
          <cell r="A103">
            <v>9630</v>
          </cell>
          <cell r="G103" t="str">
            <v>XEVC</v>
          </cell>
        </row>
        <row r="104">
          <cell r="A104">
            <v>1741</v>
          </cell>
          <cell r="G104" t="str">
            <v>AR8P6N4L2</v>
          </cell>
        </row>
        <row r="105">
          <cell r="A105">
            <v>185296</v>
          </cell>
          <cell r="G105" t="str">
            <v>N4L2</v>
          </cell>
        </row>
        <row r="106">
          <cell r="A106">
            <v>2963</v>
          </cell>
          <cell r="G106" t="str">
            <v>0HYF</v>
          </cell>
        </row>
        <row r="107">
          <cell r="A107">
            <v>3074</v>
          </cell>
          <cell r="G107" t="str">
            <v>DUBS9Q7O</v>
          </cell>
        </row>
        <row r="108">
          <cell r="A108">
            <v>4185</v>
          </cell>
          <cell r="G108" t="str">
            <v>Q7O5M3K1</v>
          </cell>
        </row>
        <row r="109">
          <cell r="A109">
            <v>529630</v>
          </cell>
          <cell r="G109" t="str">
            <v>3K1IZGX</v>
          </cell>
        </row>
        <row r="110">
          <cell r="A110">
            <v>6307</v>
          </cell>
          <cell r="G110" t="str">
            <v>GXEV</v>
          </cell>
        </row>
        <row r="111">
          <cell r="A111">
            <v>741852</v>
          </cell>
          <cell r="G111" t="str">
            <v>TAR8</v>
          </cell>
        </row>
        <row r="112">
          <cell r="A112">
            <v>8529</v>
          </cell>
          <cell r="G112" t="str">
            <v>6N4L2J</v>
          </cell>
        </row>
        <row r="113">
          <cell r="A113">
            <v>963074</v>
          </cell>
          <cell r="G113" t="str">
            <v>J0HYFW</v>
          </cell>
        </row>
        <row r="114">
          <cell r="A114">
            <v>174185</v>
          </cell>
          <cell r="G114" t="str">
            <v>WDUBS</v>
          </cell>
        </row>
        <row r="115">
          <cell r="A115">
            <v>185296</v>
          </cell>
          <cell r="G115" t="str">
            <v>9Q7O</v>
          </cell>
        </row>
        <row r="116">
          <cell r="A116">
            <v>296307</v>
          </cell>
          <cell r="G116" t="str">
            <v>M3K1IZGX</v>
          </cell>
        </row>
        <row r="117">
          <cell r="A117">
            <v>307418</v>
          </cell>
          <cell r="G117" t="str">
            <v>ZGXE</v>
          </cell>
        </row>
        <row r="118">
          <cell r="A118">
            <v>4185</v>
          </cell>
          <cell r="G118" t="str">
            <v>CTAR8P6N4</v>
          </cell>
        </row>
        <row r="119">
          <cell r="A119">
            <v>529630</v>
          </cell>
          <cell r="G119" t="str">
            <v>P6N4L2J</v>
          </cell>
        </row>
        <row r="120">
          <cell r="A120">
            <v>630741</v>
          </cell>
          <cell r="G120" t="str">
            <v>2J0HYFWD</v>
          </cell>
        </row>
        <row r="121">
          <cell r="A121">
            <v>741852</v>
          </cell>
          <cell r="G121" t="str">
            <v>FWDUBS9Q7</v>
          </cell>
        </row>
        <row r="122">
          <cell r="A122">
            <v>852963</v>
          </cell>
          <cell r="G122" t="str">
            <v>S9Q7O5M3K</v>
          </cell>
        </row>
        <row r="123">
          <cell r="A123">
            <v>963074</v>
          </cell>
          <cell r="G123" t="str">
            <v>5M3K1IZ</v>
          </cell>
        </row>
        <row r="124">
          <cell r="A124">
            <v>174185</v>
          </cell>
          <cell r="G124" t="str">
            <v>IZGXEVCT</v>
          </cell>
        </row>
        <row r="125">
          <cell r="A125">
            <v>185296</v>
          </cell>
          <cell r="G125" t="str">
            <v>VCTAR8P6</v>
          </cell>
        </row>
        <row r="126">
          <cell r="A126">
            <v>296307</v>
          </cell>
          <cell r="G126" t="str">
            <v>8P6N4L2J0</v>
          </cell>
        </row>
        <row r="127">
          <cell r="A127">
            <v>307418</v>
          </cell>
          <cell r="G127" t="str">
            <v>L2J0HYFW</v>
          </cell>
        </row>
        <row r="128">
          <cell r="A128">
            <v>418529</v>
          </cell>
          <cell r="G128" t="str">
            <v>YFWDUBS9Q7</v>
          </cell>
        </row>
        <row r="129">
          <cell r="A129">
            <v>5296</v>
          </cell>
          <cell r="G129" t="str">
            <v>BS9Q7</v>
          </cell>
        </row>
        <row r="130">
          <cell r="A130">
            <v>6307</v>
          </cell>
          <cell r="G130" t="str">
            <v>O5M3K</v>
          </cell>
        </row>
        <row r="131">
          <cell r="A131">
            <v>7418</v>
          </cell>
          <cell r="G131" t="str">
            <v>1IZGX</v>
          </cell>
        </row>
        <row r="132">
          <cell r="A132">
            <v>8529</v>
          </cell>
          <cell r="G132" t="str">
            <v>EVCTA</v>
          </cell>
        </row>
        <row r="133">
          <cell r="A133">
            <v>9630</v>
          </cell>
          <cell r="G133" t="str">
            <v>R8P6N</v>
          </cell>
        </row>
        <row r="134">
          <cell r="A134">
            <v>174185</v>
          </cell>
          <cell r="G134" t="str">
            <v>4L2J0HYF</v>
          </cell>
        </row>
        <row r="135">
          <cell r="A135">
            <v>185296</v>
          </cell>
          <cell r="G135" t="str">
            <v>HYFWDU</v>
          </cell>
        </row>
        <row r="136">
          <cell r="A136">
            <v>296307</v>
          </cell>
          <cell r="G136" t="str">
            <v>UBS9Q7O5M</v>
          </cell>
        </row>
        <row r="137">
          <cell r="A137">
            <v>307418</v>
          </cell>
          <cell r="G137" t="str">
            <v>7O5M3K1IZ</v>
          </cell>
        </row>
        <row r="138">
          <cell r="A138">
            <v>418529</v>
          </cell>
          <cell r="G138" t="str">
            <v>K1IZGXEVC</v>
          </cell>
        </row>
        <row r="139">
          <cell r="A139">
            <v>529630</v>
          </cell>
          <cell r="G139" t="str">
            <v>XEVCTAR8</v>
          </cell>
        </row>
        <row r="140">
          <cell r="A140">
            <v>630741</v>
          </cell>
          <cell r="G140" t="str">
            <v>AR8P6N4L</v>
          </cell>
        </row>
        <row r="141">
          <cell r="A141">
            <v>741852</v>
          </cell>
          <cell r="G141" t="str">
            <v>N4L2J0H</v>
          </cell>
        </row>
        <row r="142">
          <cell r="A142">
            <v>852963</v>
          </cell>
          <cell r="G142" t="str">
            <v>0HYFWDUBS</v>
          </cell>
        </row>
        <row r="143">
          <cell r="A143">
            <v>963074</v>
          </cell>
          <cell r="G143" t="str">
            <v>DUBS9Q7O5</v>
          </cell>
        </row>
        <row r="144">
          <cell r="A144">
            <v>174185</v>
          </cell>
          <cell r="G144" t="str">
            <v>Q7O5M3K1IZ</v>
          </cell>
        </row>
        <row r="145">
          <cell r="A145">
            <v>185296</v>
          </cell>
          <cell r="G145" t="str">
            <v>3K1IZG</v>
          </cell>
        </row>
        <row r="146">
          <cell r="A146">
            <v>2963</v>
          </cell>
          <cell r="G146" t="str">
            <v>GXEVC</v>
          </cell>
        </row>
        <row r="147">
          <cell r="A147">
            <v>3074</v>
          </cell>
          <cell r="G147" t="str">
            <v>TAR8P</v>
          </cell>
        </row>
        <row r="148">
          <cell r="A148">
            <v>4185</v>
          </cell>
          <cell r="G148" t="str">
            <v>6N4L2</v>
          </cell>
        </row>
        <row r="149">
          <cell r="A149">
            <v>5296</v>
          </cell>
          <cell r="G149" t="str">
            <v>J0HYF</v>
          </cell>
        </row>
        <row r="150">
          <cell r="A150">
            <v>6307</v>
          </cell>
          <cell r="G150" t="str">
            <v>WDUBS9</v>
          </cell>
        </row>
        <row r="151">
          <cell r="A151">
            <v>7418</v>
          </cell>
          <cell r="G151" t="str">
            <v>9Q7O5M</v>
          </cell>
        </row>
        <row r="152">
          <cell r="A152">
            <v>8529</v>
          </cell>
          <cell r="G152" t="str">
            <v>M3K1IZ</v>
          </cell>
        </row>
        <row r="153">
          <cell r="A153">
            <v>9630</v>
          </cell>
          <cell r="G153" t="str">
            <v>ZGXEVC</v>
          </cell>
        </row>
        <row r="154">
          <cell r="A154">
            <v>1741</v>
          </cell>
          <cell r="G154" t="str">
            <v>CTAR8P</v>
          </cell>
        </row>
        <row r="155">
          <cell r="A155">
            <v>1852</v>
          </cell>
          <cell r="G155" t="str">
            <v>P6N4L2</v>
          </cell>
        </row>
        <row r="156">
          <cell r="A156">
            <v>2963</v>
          </cell>
          <cell r="G156" t="str">
            <v>2J0HYF</v>
          </cell>
        </row>
        <row r="157">
          <cell r="A157">
            <v>3074</v>
          </cell>
          <cell r="G157" t="str">
            <v>FWDUBS</v>
          </cell>
        </row>
        <row r="158">
          <cell r="A158">
            <v>4185</v>
          </cell>
          <cell r="G158" t="str">
            <v>S9Q7O5</v>
          </cell>
        </row>
        <row r="159">
          <cell r="A159">
            <v>5296</v>
          </cell>
          <cell r="G159" t="str">
            <v>5M3K1I</v>
          </cell>
        </row>
        <row r="160">
          <cell r="A160">
            <v>6307</v>
          </cell>
          <cell r="G160" t="str">
            <v>IZGXEV</v>
          </cell>
        </row>
        <row r="161">
          <cell r="A161">
            <v>741852</v>
          </cell>
          <cell r="G161" t="str">
            <v>VCTAR8</v>
          </cell>
        </row>
        <row r="162">
          <cell r="A162">
            <v>8529</v>
          </cell>
          <cell r="G162" t="str">
            <v>8P6N</v>
          </cell>
        </row>
        <row r="163">
          <cell r="A163">
            <v>963074</v>
          </cell>
          <cell r="G163" t="str">
            <v>L2J0</v>
          </cell>
        </row>
        <row r="164">
          <cell r="A164">
            <v>1741</v>
          </cell>
          <cell r="G164" t="str">
            <v>YFWDUBS9Q</v>
          </cell>
        </row>
        <row r="165">
          <cell r="A165">
            <v>1852</v>
          </cell>
          <cell r="G165" t="str">
            <v>BS9Q</v>
          </cell>
        </row>
        <row r="166">
          <cell r="A166">
            <v>2963</v>
          </cell>
          <cell r="G166" t="str">
            <v>O5M3K1I</v>
          </cell>
        </row>
        <row r="167">
          <cell r="A167">
            <v>307418</v>
          </cell>
          <cell r="G167" t="str">
            <v>1IZGXEVCT</v>
          </cell>
        </row>
        <row r="168">
          <cell r="A168">
            <v>418529</v>
          </cell>
          <cell r="G168" t="str">
            <v>EVCTAR8P</v>
          </cell>
        </row>
        <row r="169">
          <cell r="A169">
            <v>529630</v>
          </cell>
          <cell r="G169" t="str">
            <v>R8P6</v>
          </cell>
        </row>
        <row r="170">
          <cell r="A170">
            <v>6307</v>
          </cell>
          <cell r="G170" t="str">
            <v>4L2J</v>
          </cell>
        </row>
        <row r="171">
          <cell r="A171">
            <v>7418</v>
          </cell>
          <cell r="G171" t="str">
            <v>HYFWDUBS9</v>
          </cell>
        </row>
        <row r="172">
          <cell r="A172">
            <v>852963</v>
          </cell>
          <cell r="G172" t="str">
            <v>UBS9</v>
          </cell>
        </row>
        <row r="173">
          <cell r="A173">
            <v>9630</v>
          </cell>
          <cell r="G173" t="str">
            <v>7O5M</v>
          </cell>
        </row>
        <row r="174">
          <cell r="A174">
            <v>1741</v>
          </cell>
          <cell r="G174" t="str">
            <v>K1IZGX</v>
          </cell>
        </row>
        <row r="175">
          <cell r="A175">
            <v>1852</v>
          </cell>
          <cell r="G175" t="str">
            <v>XEVC</v>
          </cell>
        </row>
        <row r="176">
          <cell r="A176">
            <v>296307</v>
          </cell>
          <cell r="G176" t="str">
            <v>AR8P6N4L</v>
          </cell>
        </row>
        <row r="177">
          <cell r="A177">
            <v>307418</v>
          </cell>
          <cell r="G177" t="str">
            <v>N4L2J0H</v>
          </cell>
        </row>
        <row r="178">
          <cell r="A178">
            <v>4185</v>
          </cell>
          <cell r="G178" t="str">
            <v>0HYFWDUBS</v>
          </cell>
        </row>
        <row r="179">
          <cell r="A179">
            <v>529630</v>
          </cell>
          <cell r="G179" t="str">
            <v>DUBS</v>
          </cell>
        </row>
        <row r="180">
          <cell r="A180">
            <v>630741</v>
          </cell>
          <cell r="G180" t="str">
            <v>Q7O5</v>
          </cell>
        </row>
        <row r="181">
          <cell r="A181">
            <v>7418</v>
          </cell>
          <cell r="G181" t="str">
            <v>3K1IZGXEV</v>
          </cell>
        </row>
        <row r="182">
          <cell r="A182">
            <v>852963</v>
          </cell>
          <cell r="G182" t="str">
            <v>GXEV</v>
          </cell>
        </row>
        <row r="183">
          <cell r="A183">
            <v>9630</v>
          </cell>
          <cell r="G183" t="str">
            <v>TAR8</v>
          </cell>
        </row>
        <row r="184">
          <cell r="A184">
            <v>1741</v>
          </cell>
          <cell r="G184" t="str">
            <v>6N4L2J0HY</v>
          </cell>
        </row>
        <row r="185">
          <cell r="A185">
            <v>1852</v>
          </cell>
          <cell r="G185" t="str">
            <v>J0HY</v>
          </cell>
        </row>
        <row r="186">
          <cell r="A186">
            <v>296307</v>
          </cell>
          <cell r="G186" t="str">
            <v>WDUBS9</v>
          </cell>
        </row>
        <row r="187">
          <cell r="A187">
            <v>307418</v>
          </cell>
          <cell r="G187" t="str">
            <v>9Q7O5M</v>
          </cell>
        </row>
        <row r="188">
          <cell r="A188">
            <v>418529</v>
          </cell>
          <cell r="G188" t="str">
            <v>M3K1IZGXE</v>
          </cell>
        </row>
        <row r="189">
          <cell r="A189">
            <v>5296</v>
          </cell>
          <cell r="G189" t="str">
            <v>ZGXEVCTAR8</v>
          </cell>
        </row>
        <row r="190">
          <cell r="A190">
            <v>630741</v>
          </cell>
          <cell r="G190" t="str">
            <v>CTAR8P6N</v>
          </cell>
        </row>
        <row r="191">
          <cell r="A191">
            <v>7418</v>
          </cell>
          <cell r="G191" t="str">
            <v>P6N4L</v>
          </cell>
        </row>
        <row r="192">
          <cell r="A192">
            <v>8529</v>
          </cell>
          <cell r="G192" t="str">
            <v>2J0HY</v>
          </cell>
        </row>
        <row r="193">
          <cell r="A193">
            <v>9630</v>
          </cell>
          <cell r="G193" t="str">
            <v>FWDUB</v>
          </cell>
        </row>
        <row r="194">
          <cell r="A194">
            <v>174185</v>
          </cell>
          <cell r="G194" t="str">
            <v>S9Q7O5M3K1</v>
          </cell>
        </row>
        <row r="195">
          <cell r="A195">
            <v>185296</v>
          </cell>
          <cell r="G195" t="str">
            <v>5M3K1IZGXEVCT</v>
          </cell>
        </row>
        <row r="196">
          <cell r="A196">
            <v>296307</v>
          </cell>
          <cell r="G196" t="str">
            <v>IZGXEVCTAR8P</v>
          </cell>
        </row>
        <row r="197">
          <cell r="A197">
            <v>307418</v>
          </cell>
          <cell r="G197" t="str">
            <v>VCTAR8P6</v>
          </cell>
        </row>
        <row r="198">
          <cell r="A198">
            <v>418529</v>
          </cell>
          <cell r="G198" t="str">
            <v>8P6N4L2J0</v>
          </cell>
        </row>
        <row r="199">
          <cell r="A199">
            <v>529630</v>
          </cell>
          <cell r="G199" t="str">
            <v>L2J0HYFWD</v>
          </cell>
        </row>
        <row r="200">
          <cell r="A200">
            <v>630741</v>
          </cell>
          <cell r="G200" t="str">
            <v>YFWDUBS9Q7</v>
          </cell>
        </row>
        <row r="201">
          <cell r="A201">
            <v>741852</v>
          </cell>
          <cell r="G201" t="str">
            <v>BS9Q7O5M3</v>
          </cell>
        </row>
        <row r="202">
          <cell r="A202">
            <v>852963</v>
          </cell>
          <cell r="G202" t="str">
            <v>O5M3K1IZGX</v>
          </cell>
        </row>
        <row r="203">
          <cell r="A203">
            <v>9630</v>
          </cell>
          <cell r="G203" t="str">
            <v>1IZGX</v>
          </cell>
        </row>
        <row r="204">
          <cell r="A204">
            <v>1741</v>
          </cell>
          <cell r="G204" t="str">
            <v>EVCTA</v>
          </cell>
        </row>
        <row r="205">
          <cell r="A205">
            <v>185296</v>
          </cell>
          <cell r="G205" t="str">
            <v>R8P6</v>
          </cell>
        </row>
        <row r="206">
          <cell r="A206">
            <v>29630</v>
          </cell>
          <cell r="G206" t="str">
            <v>4L2J0H</v>
          </cell>
        </row>
        <row r="207">
          <cell r="A207">
            <v>30741</v>
          </cell>
          <cell r="G207" t="str">
            <v>HYFWDUB</v>
          </cell>
        </row>
        <row r="208">
          <cell r="A208">
            <v>41852</v>
          </cell>
          <cell r="G208" t="str">
            <v>UBS9Q7O5M</v>
          </cell>
        </row>
        <row r="209">
          <cell r="A209">
            <v>529630</v>
          </cell>
          <cell r="G209" t="str">
            <v>7O5M3K1IZ</v>
          </cell>
        </row>
        <row r="210">
          <cell r="A210">
            <v>630741</v>
          </cell>
          <cell r="G210" t="str">
            <v>K1IZGXEVC</v>
          </cell>
        </row>
        <row r="211">
          <cell r="A211">
            <v>741852</v>
          </cell>
          <cell r="G211" t="str">
            <v>XEVCTAR8P6</v>
          </cell>
        </row>
        <row r="212">
          <cell r="A212">
            <v>852963</v>
          </cell>
          <cell r="G212" t="str">
            <v>AR8P6N4L2J</v>
          </cell>
        </row>
        <row r="213">
          <cell r="A213">
            <v>963074</v>
          </cell>
          <cell r="G213" t="str">
            <v>N4L2J0HYFW</v>
          </cell>
        </row>
        <row r="214">
          <cell r="A214">
            <v>174185</v>
          </cell>
          <cell r="G214" t="str">
            <v>0HYFWDUBS</v>
          </cell>
        </row>
        <row r="215">
          <cell r="A215">
            <v>185296</v>
          </cell>
          <cell r="G215" t="str">
            <v>DUBS9Q7O5</v>
          </cell>
        </row>
        <row r="216">
          <cell r="A216">
            <v>296307</v>
          </cell>
          <cell r="G216" t="str">
            <v>Q7O5M3K1</v>
          </cell>
        </row>
        <row r="217">
          <cell r="A217">
            <v>307418</v>
          </cell>
          <cell r="G217" t="str">
            <v>3K1IZGXEV</v>
          </cell>
        </row>
        <row r="218">
          <cell r="A218">
            <v>418529</v>
          </cell>
          <cell r="G218" t="str">
            <v>GXEVCTAR8</v>
          </cell>
        </row>
        <row r="219">
          <cell r="A219">
            <v>529630</v>
          </cell>
          <cell r="G219" t="str">
            <v>TAR8P6N4L</v>
          </cell>
        </row>
        <row r="220">
          <cell r="A220">
            <v>630741</v>
          </cell>
          <cell r="G220" t="str">
            <v>6N4L2J0</v>
          </cell>
        </row>
        <row r="221">
          <cell r="A221">
            <v>7418</v>
          </cell>
          <cell r="G221" t="str">
            <v>J0HYF</v>
          </cell>
        </row>
        <row r="222">
          <cell r="A222">
            <v>8529</v>
          </cell>
          <cell r="G222" t="str">
            <v>WDUBS</v>
          </cell>
        </row>
        <row r="223">
          <cell r="A223">
            <v>9630</v>
          </cell>
          <cell r="G223" t="str">
            <v>9Q7O5</v>
          </cell>
        </row>
        <row r="224">
          <cell r="A224">
            <v>1741</v>
          </cell>
          <cell r="G224" t="str">
            <v>M3K1I</v>
          </cell>
        </row>
        <row r="225">
          <cell r="A225">
            <v>1852</v>
          </cell>
          <cell r="G225" t="str">
            <v>ZGXEVC</v>
          </cell>
        </row>
        <row r="226">
          <cell r="A226">
            <v>296307</v>
          </cell>
          <cell r="G226" t="str">
            <v>CTAR8P6N4L2J</v>
          </cell>
        </row>
        <row r="227">
          <cell r="A227">
            <v>3074</v>
          </cell>
          <cell r="G227" t="str">
            <v>P6N4L2</v>
          </cell>
        </row>
        <row r="228">
          <cell r="A228">
            <v>4185</v>
          </cell>
          <cell r="G228" t="str">
            <v>2J0HYF</v>
          </cell>
        </row>
        <row r="229">
          <cell r="A229">
            <v>5296</v>
          </cell>
          <cell r="G229" t="str">
            <v>FWDUBS</v>
          </cell>
        </row>
        <row r="230">
          <cell r="A230">
            <v>630741</v>
          </cell>
          <cell r="G230" t="str">
            <v>S9Q7O5M3K1</v>
          </cell>
        </row>
        <row r="231">
          <cell r="A231">
            <v>741852</v>
          </cell>
          <cell r="G231" t="str">
            <v>5M3K1IZGXEVCT</v>
          </cell>
        </row>
        <row r="232">
          <cell r="A232">
            <v>852963</v>
          </cell>
          <cell r="G232" t="str">
            <v>IZGXEVCTAR8P</v>
          </cell>
        </row>
        <row r="233">
          <cell r="A233">
            <v>9630</v>
          </cell>
          <cell r="G233" t="str">
            <v>VCTAR8</v>
          </cell>
        </row>
        <row r="234">
          <cell r="A234">
            <v>1741</v>
          </cell>
          <cell r="G234" t="str">
            <v>8P6N4L</v>
          </cell>
        </row>
        <row r="235">
          <cell r="A235">
            <v>1852</v>
          </cell>
          <cell r="G235" t="str">
            <v>L2J0HY</v>
          </cell>
        </row>
        <row r="236">
          <cell r="A236">
            <v>2963</v>
          </cell>
          <cell r="G236" t="str">
            <v>YFWDUB</v>
          </cell>
        </row>
        <row r="237">
          <cell r="A237">
            <v>3074</v>
          </cell>
          <cell r="G237" t="str">
            <v>BS9Q7O</v>
          </cell>
        </row>
        <row r="238">
          <cell r="A238">
            <v>4185</v>
          </cell>
          <cell r="G238" t="str">
            <v>O5M3K1</v>
          </cell>
        </row>
        <row r="239">
          <cell r="A239">
            <v>5296</v>
          </cell>
          <cell r="G239" t="str">
            <v>1IZGXE</v>
          </cell>
        </row>
        <row r="240">
          <cell r="A240">
            <v>630741</v>
          </cell>
          <cell r="G240" t="str">
            <v>EVCTAR8P6N4L</v>
          </cell>
        </row>
        <row r="241">
          <cell r="A241">
            <v>741852</v>
          </cell>
          <cell r="G241" t="str">
            <v>R8P6N4L2J0HYF</v>
          </cell>
        </row>
        <row r="242">
          <cell r="A242">
            <v>852963</v>
          </cell>
          <cell r="G242" t="str">
            <v>4L2J0HYFWDUB</v>
          </cell>
        </row>
        <row r="243">
          <cell r="A243">
            <v>963074</v>
          </cell>
          <cell r="G243" t="str">
            <v>HYFWDU</v>
          </cell>
        </row>
        <row r="244">
          <cell r="A244">
            <v>174185</v>
          </cell>
          <cell r="G244" t="str">
            <v>UBS9Q7</v>
          </cell>
        </row>
        <row r="245">
          <cell r="A245">
            <v>185296</v>
          </cell>
          <cell r="G245" t="str">
            <v>7O5M3K</v>
          </cell>
        </row>
        <row r="246">
          <cell r="A246">
            <v>296307</v>
          </cell>
          <cell r="G246" t="str">
            <v>K1IZGX</v>
          </cell>
        </row>
        <row r="247">
          <cell r="A247">
            <v>307418</v>
          </cell>
          <cell r="G247" t="str">
            <v>XEVCTA</v>
          </cell>
        </row>
        <row r="248">
          <cell r="A248">
            <v>4185</v>
          </cell>
          <cell r="G248" t="str">
            <v>AR8P</v>
          </cell>
        </row>
        <row r="249">
          <cell r="A249">
            <v>5296</v>
          </cell>
          <cell r="G249" t="str">
            <v>N4L2J0HYF</v>
          </cell>
        </row>
        <row r="250">
          <cell r="A250">
            <v>6307</v>
          </cell>
          <cell r="G250" t="str">
            <v>0HYFWDUB</v>
          </cell>
        </row>
        <row r="251">
          <cell r="A251">
            <v>7418</v>
          </cell>
          <cell r="G251" t="str">
            <v>DUBS9Q7O5</v>
          </cell>
        </row>
        <row r="252">
          <cell r="A252">
            <v>8529</v>
          </cell>
          <cell r="G252" t="str">
            <v>Q7O5</v>
          </cell>
        </row>
        <row r="253">
          <cell r="A253">
            <v>9630</v>
          </cell>
          <cell r="G253" t="str">
            <v>3K1IZGX</v>
          </cell>
        </row>
        <row r="254">
          <cell r="A254">
            <v>1741</v>
          </cell>
          <cell r="G254" t="str">
            <v>GXEV</v>
          </cell>
        </row>
        <row r="255">
          <cell r="A255">
            <v>1852</v>
          </cell>
          <cell r="G255" t="str">
            <v>TAR8P6N4L</v>
          </cell>
        </row>
        <row r="256">
          <cell r="A256">
            <v>2963</v>
          </cell>
          <cell r="G256" t="str">
            <v>6N4L</v>
          </cell>
        </row>
        <row r="257">
          <cell r="A257">
            <v>3074</v>
          </cell>
          <cell r="G257" t="str">
            <v>J0HYFWDUB</v>
          </cell>
        </row>
        <row r="258">
          <cell r="A258">
            <v>4185</v>
          </cell>
          <cell r="G258" t="str">
            <v>WDUBS9Q7O</v>
          </cell>
        </row>
        <row r="259">
          <cell r="A259">
            <v>5296</v>
          </cell>
          <cell r="G259" t="str">
            <v>9Q7O5M3K</v>
          </cell>
        </row>
        <row r="260">
          <cell r="A260">
            <v>630741</v>
          </cell>
          <cell r="G260" t="str">
            <v>M3K1IZG</v>
          </cell>
        </row>
        <row r="261">
          <cell r="A261">
            <v>7418</v>
          </cell>
          <cell r="G261" t="str">
            <v>ZGXE</v>
          </cell>
        </row>
        <row r="262">
          <cell r="A262">
            <v>8529</v>
          </cell>
          <cell r="G262" t="str">
            <v>CTAR</v>
          </cell>
        </row>
        <row r="263">
          <cell r="A263">
            <v>9630</v>
          </cell>
          <cell r="G263" t="str">
            <v>P6N4</v>
          </cell>
        </row>
        <row r="264">
          <cell r="A264">
            <v>1741</v>
          </cell>
          <cell r="G264" t="str">
            <v>2J0HYFWDU</v>
          </cell>
        </row>
        <row r="265">
          <cell r="A265">
            <v>1852</v>
          </cell>
          <cell r="G265" t="str">
            <v>FWDUBS9Q7</v>
          </cell>
        </row>
        <row r="266">
          <cell r="A266">
            <v>2963</v>
          </cell>
          <cell r="G266" t="str">
            <v>S9Q7</v>
          </cell>
        </row>
        <row r="267">
          <cell r="A267">
            <v>307418</v>
          </cell>
          <cell r="G267" t="str">
            <v>5M3K1I</v>
          </cell>
        </row>
        <row r="268">
          <cell r="A268">
            <v>418529</v>
          </cell>
          <cell r="G268" t="str">
            <v>IZGXEV</v>
          </cell>
        </row>
        <row r="269">
          <cell r="A269">
            <v>5296</v>
          </cell>
          <cell r="G269" t="str">
            <v>VCTAR8P6N</v>
          </cell>
        </row>
        <row r="270">
          <cell r="A270">
            <v>6307</v>
          </cell>
          <cell r="G270" t="str">
            <v>8P6N4L2J0H</v>
          </cell>
        </row>
        <row r="271">
          <cell r="A271">
            <v>741852</v>
          </cell>
          <cell r="G271" t="str">
            <v>L2J0HYFW</v>
          </cell>
        </row>
        <row r="272">
          <cell r="A272">
            <v>85296</v>
          </cell>
          <cell r="G272" t="str">
            <v>YFWDUBS9Q</v>
          </cell>
        </row>
        <row r="273">
          <cell r="A273">
            <v>96307</v>
          </cell>
          <cell r="G273" t="str">
            <v>BS9Q7O5M3</v>
          </cell>
        </row>
        <row r="274">
          <cell r="A274">
            <v>174185</v>
          </cell>
          <cell r="G274" t="str">
            <v>O5M3K1IZGXE</v>
          </cell>
        </row>
        <row r="275">
          <cell r="A275">
            <v>1852</v>
          </cell>
          <cell r="G275" t="str">
            <v>1IZGX</v>
          </cell>
        </row>
        <row r="276">
          <cell r="A276">
            <v>2963</v>
          </cell>
          <cell r="G276" t="str">
            <v>EVCTA</v>
          </cell>
        </row>
        <row r="277">
          <cell r="A277">
            <v>3074</v>
          </cell>
          <cell r="G277" t="str">
            <v>R8P6N</v>
          </cell>
        </row>
        <row r="278">
          <cell r="A278">
            <v>418529</v>
          </cell>
          <cell r="G278" t="str">
            <v>4L2J0HYFWDUB</v>
          </cell>
        </row>
        <row r="279">
          <cell r="A279">
            <v>529630</v>
          </cell>
          <cell r="G279" t="str">
            <v>HYFWDUBS9Q7O5</v>
          </cell>
        </row>
        <row r="280">
          <cell r="A280">
            <v>630741</v>
          </cell>
          <cell r="G280" t="str">
            <v>UBS9Q7O5M3K1</v>
          </cell>
        </row>
        <row r="281">
          <cell r="A281">
            <v>7418</v>
          </cell>
          <cell r="G281" t="str">
            <v>7O5M3</v>
          </cell>
        </row>
        <row r="282">
          <cell r="A282">
            <v>8529</v>
          </cell>
          <cell r="G282" t="str">
            <v>K1IZG</v>
          </cell>
        </row>
        <row r="283">
          <cell r="A283">
            <v>963074</v>
          </cell>
          <cell r="G283" t="str">
            <v>XEVCTAR8</v>
          </cell>
        </row>
        <row r="284">
          <cell r="A284">
            <v>174185</v>
          </cell>
          <cell r="G284" t="str">
            <v>AR8P6N4L2</v>
          </cell>
        </row>
        <row r="285">
          <cell r="A285">
            <v>185296</v>
          </cell>
          <cell r="G285" t="str">
            <v>N4L2J0HYF</v>
          </cell>
        </row>
        <row r="286">
          <cell r="A286">
            <v>296307</v>
          </cell>
          <cell r="G286" t="str">
            <v>0HYFWDUBS9</v>
          </cell>
        </row>
        <row r="287">
          <cell r="A287">
            <v>307418</v>
          </cell>
          <cell r="G287" t="str">
            <v>DUBS9Q7O5</v>
          </cell>
        </row>
        <row r="288">
          <cell r="A288">
            <v>418529</v>
          </cell>
          <cell r="G288" t="str">
            <v>Q7O5M3K1IZ</v>
          </cell>
        </row>
        <row r="289">
          <cell r="A289">
            <v>529630</v>
          </cell>
          <cell r="G289" t="str">
            <v>3K1IZGXEV</v>
          </cell>
        </row>
        <row r="290">
          <cell r="A290">
            <v>630741</v>
          </cell>
          <cell r="G290" t="str">
            <v>GXEVCTAR8P</v>
          </cell>
        </row>
        <row r="291">
          <cell r="A291">
            <v>741852</v>
          </cell>
          <cell r="G291" t="str">
            <v>TAR8P6N</v>
          </cell>
        </row>
        <row r="292">
          <cell r="A292">
            <v>8529</v>
          </cell>
          <cell r="G292" t="str">
            <v>6N4L2</v>
          </cell>
        </row>
        <row r="293">
          <cell r="A293">
            <v>9630</v>
          </cell>
          <cell r="G293" t="str">
            <v>J0HYF</v>
          </cell>
        </row>
        <row r="294">
          <cell r="A294">
            <v>1741</v>
          </cell>
          <cell r="G294" t="str">
            <v>WDUBS</v>
          </cell>
        </row>
        <row r="295">
          <cell r="A295">
            <v>1852</v>
          </cell>
          <cell r="G295" t="str">
            <v>9Q7O5</v>
          </cell>
        </row>
        <row r="296">
          <cell r="A296">
            <v>2963</v>
          </cell>
          <cell r="G296" t="str">
            <v>M3K1IZ</v>
          </cell>
        </row>
        <row r="297">
          <cell r="A297">
            <v>307418</v>
          </cell>
          <cell r="G297" t="str">
            <v>ZGXEVCTAR</v>
          </cell>
        </row>
        <row r="298">
          <cell r="A298">
            <v>418529</v>
          </cell>
          <cell r="G298" t="str">
            <v>CTAR8P6N4L</v>
          </cell>
        </row>
        <row r="299">
          <cell r="A299">
            <v>529630</v>
          </cell>
          <cell r="G299" t="str">
            <v>P6N4L2J0HY</v>
          </cell>
        </row>
        <row r="300">
          <cell r="A300">
            <v>630741</v>
          </cell>
          <cell r="G300" t="str">
            <v>2J0HYFWDUB</v>
          </cell>
        </row>
        <row r="301">
          <cell r="A301">
            <v>741852</v>
          </cell>
          <cell r="G301" t="str">
            <v>FWDUBS9Q7</v>
          </cell>
        </row>
        <row r="302">
          <cell r="A302">
            <v>852963</v>
          </cell>
          <cell r="G302" t="str">
            <v>S9Q7O5M3K</v>
          </cell>
        </row>
        <row r="303">
          <cell r="A303">
            <v>963074</v>
          </cell>
          <cell r="G303" t="str">
            <v>5M3K1IZG</v>
          </cell>
        </row>
        <row r="304">
          <cell r="A304">
            <v>174185</v>
          </cell>
          <cell r="G304" t="str">
            <v>IZGXEVCTAR8P</v>
          </cell>
        </row>
        <row r="305">
          <cell r="A305">
            <v>1852</v>
          </cell>
          <cell r="G305" t="str">
            <v>VCTAR8</v>
          </cell>
        </row>
        <row r="306">
          <cell r="A306">
            <v>2963</v>
          </cell>
          <cell r="G306" t="str">
            <v>8P6N4L</v>
          </cell>
        </row>
        <row r="307">
          <cell r="A307">
            <v>3074</v>
          </cell>
          <cell r="G307" t="str">
            <v>L2J0HY</v>
          </cell>
        </row>
        <row r="308">
          <cell r="A308">
            <v>418529</v>
          </cell>
          <cell r="G308" t="str">
            <v>YFWDUBS9Q7O5</v>
          </cell>
        </row>
        <row r="309">
          <cell r="A309">
            <v>529630</v>
          </cell>
          <cell r="G309" t="str">
            <v>BS9Q7O5M3K1IZ</v>
          </cell>
        </row>
        <row r="310">
          <cell r="A310">
            <v>630741</v>
          </cell>
          <cell r="G310" t="str">
            <v>O5M3K1IZGXEV</v>
          </cell>
        </row>
        <row r="311">
          <cell r="A311">
            <v>7418</v>
          </cell>
          <cell r="G311" t="str">
            <v>1IZGXE</v>
          </cell>
        </row>
        <row r="312">
          <cell r="A312">
            <v>8529</v>
          </cell>
          <cell r="G312" t="str">
            <v>EVCTAR</v>
          </cell>
        </row>
        <row r="313">
          <cell r="A313">
            <v>963074</v>
          </cell>
          <cell r="G313" t="str">
            <v>R8P6N4L2J0HY</v>
          </cell>
        </row>
        <row r="314">
          <cell r="A314">
            <v>174185</v>
          </cell>
          <cell r="G314" t="str">
            <v>4L2J0HYFWDUBS</v>
          </cell>
        </row>
        <row r="315">
          <cell r="A315">
            <v>185296</v>
          </cell>
          <cell r="G315" t="str">
            <v>HYFWDUBS9Q7O</v>
          </cell>
        </row>
        <row r="316">
          <cell r="A316">
            <v>2963</v>
          </cell>
          <cell r="G316" t="str">
            <v>UBS9Q7</v>
          </cell>
        </row>
        <row r="317">
          <cell r="A317">
            <v>3074</v>
          </cell>
          <cell r="G317" t="str">
            <v>7O5M3K</v>
          </cell>
        </row>
        <row r="318">
          <cell r="A318">
            <v>4185</v>
          </cell>
          <cell r="G318" t="str">
            <v>K1IZGX</v>
          </cell>
        </row>
        <row r="319">
          <cell r="A319">
            <v>5296</v>
          </cell>
          <cell r="G319" t="str">
            <v>XEVCTA</v>
          </cell>
        </row>
        <row r="320">
          <cell r="A320">
            <v>6307</v>
          </cell>
          <cell r="G320" t="str">
            <v>AR8P6N</v>
          </cell>
        </row>
        <row r="321">
          <cell r="A321">
            <v>741852</v>
          </cell>
          <cell r="G321" t="str">
            <v>N4L2J0</v>
          </cell>
        </row>
        <row r="322">
          <cell r="A322">
            <v>852963</v>
          </cell>
          <cell r="G322" t="str">
            <v>0HYFWDUBS9Q7</v>
          </cell>
        </row>
        <row r="323">
          <cell r="A323">
            <v>963074</v>
          </cell>
          <cell r="G323" t="str">
            <v>DUBS9Q7O5M3K1</v>
          </cell>
        </row>
        <row r="324">
          <cell r="A324">
            <v>174185</v>
          </cell>
          <cell r="G324" t="str">
            <v>Q7O5M3K1IZGX</v>
          </cell>
        </row>
        <row r="325">
          <cell r="A325">
            <v>185296</v>
          </cell>
          <cell r="G325" t="str">
            <v>3K1IZG</v>
          </cell>
        </row>
        <row r="326">
          <cell r="A326">
            <v>296307</v>
          </cell>
          <cell r="G326" t="str">
            <v>GXEVCT</v>
          </cell>
        </row>
        <row r="327">
          <cell r="A327">
            <v>307418</v>
          </cell>
          <cell r="G327" t="str">
            <v>TAR8P6</v>
          </cell>
        </row>
        <row r="328">
          <cell r="A328">
            <v>418529</v>
          </cell>
          <cell r="G328" t="str">
            <v>6N4L2J</v>
          </cell>
        </row>
        <row r="329">
          <cell r="A329">
            <v>529630</v>
          </cell>
          <cell r="G329" t="str">
            <v>J0HYFW</v>
          </cell>
        </row>
        <row r="330">
          <cell r="A330">
            <v>630741</v>
          </cell>
          <cell r="G330" t="str">
            <v>WDUBS9</v>
          </cell>
        </row>
        <row r="331">
          <cell r="A331">
            <v>741852</v>
          </cell>
          <cell r="G331" t="str">
            <v>9Q7O5M3K1IZGX</v>
          </cell>
        </row>
        <row r="332">
          <cell r="A332">
            <v>852963</v>
          </cell>
          <cell r="G332" t="str">
            <v>M3K1IZGXEVCTAR</v>
          </cell>
        </row>
        <row r="333">
          <cell r="A333">
            <v>963074</v>
          </cell>
          <cell r="G333" t="str">
            <v>ZGXEVCTAR8P6N</v>
          </cell>
        </row>
        <row r="334">
          <cell r="A334">
            <v>174185</v>
          </cell>
          <cell r="G334" t="str">
            <v>CTAR8P</v>
          </cell>
        </row>
        <row r="335">
          <cell r="A335">
            <v>185296</v>
          </cell>
          <cell r="G335" t="str">
            <v>P6N4L2</v>
          </cell>
        </row>
        <row r="336">
          <cell r="A336">
            <v>296307</v>
          </cell>
          <cell r="G336" t="str">
            <v>2J0HYF</v>
          </cell>
        </row>
        <row r="337">
          <cell r="A337">
            <v>307418</v>
          </cell>
          <cell r="G337" t="str">
            <v>FWDUBS9</v>
          </cell>
        </row>
        <row r="338">
          <cell r="A338">
            <v>4185</v>
          </cell>
          <cell r="G338" t="str">
            <v>S9Q7</v>
          </cell>
        </row>
        <row r="339">
          <cell r="A339">
            <v>5296</v>
          </cell>
          <cell r="G339" t="str">
            <v>5M3K1IZGX</v>
          </cell>
        </row>
        <row r="340">
          <cell r="A340">
            <v>6307</v>
          </cell>
          <cell r="G340" t="str">
            <v>IZGXEVCTA</v>
          </cell>
        </row>
        <row r="341">
          <cell r="A341">
            <v>7418</v>
          </cell>
          <cell r="G341" t="str">
            <v>VCTAR8P6</v>
          </cell>
        </row>
        <row r="342">
          <cell r="A342">
            <v>8529</v>
          </cell>
          <cell r="G342" t="str">
            <v>8P6N</v>
          </cell>
        </row>
        <row r="343">
          <cell r="A343">
            <v>9630</v>
          </cell>
          <cell r="G343" t="str">
            <v>L2J0HYFWD</v>
          </cell>
        </row>
        <row r="344">
          <cell r="A344">
            <v>1741</v>
          </cell>
          <cell r="G344" t="str">
            <v>YFWDUBS9Q</v>
          </cell>
        </row>
        <row r="345">
          <cell r="A345">
            <v>1852</v>
          </cell>
          <cell r="G345" t="str">
            <v>BS9Q</v>
          </cell>
        </row>
        <row r="346">
          <cell r="A346">
            <v>2963</v>
          </cell>
          <cell r="G346" t="str">
            <v>O5M3K1IZG</v>
          </cell>
        </row>
        <row r="347">
          <cell r="A347">
            <v>3074</v>
          </cell>
          <cell r="G347" t="str">
            <v>1IZGXEVCT</v>
          </cell>
        </row>
        <row r="348">
          <cell r="A348">
            <v>4185</v>
          </cell>
          <cell r="G348" t="str">
            <v>EVCT</v>
          </cell>
        </row>
        <row r="349">
          <cell r="A349">
            <v>5296</v>
          </cell>
          <cell r="G349" t="str">
            <v>R8P6N4</v>
          </cell>
        </row>
        <row r="350">
          <cell r="A350">
            <v>630741</v>
          </cell>
          <cell r="G350" t="str">
            <v>4L2J0H</v>
          </cell>
        </row>
        <row r="351">
          <cell r="A351">
            <v>7418</v>
          </cell>
          <cell r="G351" t="str">
            <v>HYFWDUBS9</v>
          </cell>
        </row>
        <row r="352">
          <cell r="A352">
            <v>8529</v>
          </cell>
          <cell r="G352" t="str">
            <v>UBS9Q7O5M3</v>
          </cell>
        </row>
        <row r="353">
          <cell r="A353">
            <v>963074</v>
          </cell>
          <cell r="G353" t="str">
            <v>7O5M3K1I</v>
          </cell>
        </row>
        <row r="354">
          <cell r="A354">
            <v>174185</v>
          </cell>
          <cell r="G354" t="str">
            <v>K1IZGXE</v>
          </cell>
        </row>
        <row r="355">
          <cell r="A355">
            <v>1852</v>
          </cell>
          <cell r="G355" t="str">
            <v>XEVCT</v>
          </cell>
        </row>
        <row r="356">
          <cell r="A356">
            <v>296307</v>
          </cell>
          <cell r="G356" t="str">
            <v>AR8P6N4</v>
          </cell>
        </row>
        <row r="357">
          <cell r="A357">
            <v>3074</v>
          </cell>
          <cell r="G357" t="str">
            <v>N4L2J</v>
          </cell>
        </row>
        <row r="358">
          <cell r="A358">
            <v>4185</v>
          </cell>
          <cell r="G358" t="str">
            <v>0HYFW</v>
          </cell>
        </row>
        <row r="359">
          <cell r="A359">
            <v>529630</v>
          </cell>
          <cell r="G359" t="str">
            <v>DUBS9Q7O5M</v>
          </cell>
        </row>
        <row r="360">
          <cell r="A360">
            <v>630741</v>
          </cell>
          <cell r="G360" t="str">
            <v>Q7O5M3K1IZGXE</v>
          </cell>
        </row>
        <row r="361">
          <cell r="A361">
            <v>741852</v>
          </cell>
          <cell r="G361" t="str">
            <v>3K1IZGXEVCTA</v>
          </cell>
        </row>
        <row r="362">
          <cell r="A362">
            <v>8529</v>
          </cell>
          <cell r="G362" t="str">
            <v>GXEVC</v>
          </cell>
        </row>
        <row r="363">
          <cell r="A363">
            <v>9630</v>
          </cell>
          <cell r="G363" t="str">
            <v>TAR8P</v>
          </cell>
        </row>
        <row r="364">
          <cell r="A364">
            <v>174185</v>
          </cell>
          <cell r="G364" t="str">
            <v>6N4L2J0H</v>
          </cell>
        </row>
        <row r="365">
          <cell r="A365">
            <v>185296</v>
          </cell>
          <cell r="G365" t="str">
            <v>J0HYFWDUB</v>
          </cell>
        </row>
        <row r="366">
          <cell r="A366">
            <v>296307</v>
          </cell>
          <cell r="G366" t="str">
            <v>WDUBS9Q7O</v>
          </cell>
        </row>
        <row r="367">
          <cell r="A367">
            <v>307418</v>
          </cell>
          <cell r="G367" t="str">
            <v>9Q7O5M3K1I</v>
          </cell>
        </row>
        <row r="368">
          <cell r="A368">
            <v>418529</v>
          </cell>
          <cell r="G368" t="str">
            <v>M3K1IZGXE</v>
          </cell>
        </row>
        <row r="369">
          <cell r="A369">
            <v>529630</v>
          </cell>
          <cell r="G369" t="str">
            <v>ZGXEVCTAR8</v>
          </cell>
        </row>
        <row r="370">
          <cell r="A370">
            <v>630741</v>
          </cell>
          <cell r="G370" t="str">
            <v>CTAR8P6N4</v>
          </cell>
        </row>
        <row r="371">
          <cell r="A371">
            <v>741852</v>
          </cell>
          <cell r="G371" t="str">
            <v>P6N4L2J</v>
          </cell>
        </row>
        <row r="372">
          <cell r="A372">
            <v>8529</v>
          </cell>
          <cell r="G372" t="str">
            <v>2J0HY</v>
          </cell>
        </row>
        <row r="373">
          <cell r="A373">
            <v>9630</v>
          </cell>
          <cell r="G373" t="str">
            <v>FWDUB</v>
          </cell>
        </row>
        <row r="374">
          <cell r="A374">
            <v>1741</v>
          </cell>
          <cell r="G374" t="str">
            <v>S9Q7O</v>
          </cell>
        </row>
        <row r="375">
          <cell r="A375">
            <v>1852</v>
          </cell>
          <cell r="G375" t="str">
            <v>5M3K1</v>
          </cell>
        </row>
        <row r="376">
          <cell r="A376">
            <v>2963</v>
          </cell>
          <cell r="G376" t="str">
            <v>IZGXEV</v>
          </cell>
        </row>
        <row r="377">
          <cell r="A377">
            <v>307418</v>
          </cell>
          <cell r="G377" t="str">
            <v>VCTAR8P6N</v>
          </cell>
        </row>
        <row r="378">
          <cell r="A378">
            <v>418529</v>
          </cell>
          <cell r="G378" t="str">
            <v>8P6N4L2J0H</v>
          </cell>
        </row>
        <row r="379">
          <cell r="A379">
            <v>529630</v>
          </cell>
          <cell r="G379" t="str">
            <v>L2J0HYFWDU</v>
          </cell>
        </row>
        <row r="380">
          <cell r="A380">
            <v>630741</v>
          </cell>
          <cell r="G380" t="str">
            <v>YFWDUBS9Q7</v>
          </cell>
        </row>
        <row r="381">
          <cell r="A381">
            <v>741852</v>
          </cell>
          <cell r="G381" t="str">
            <v>BS9Q7O5M3</v>
          </cell>
        </row>
        <row r="382">
          <cell r="A382">
            <v>852963</v>
          </cell>
          <cell r="G382" t="str">
            <v>O5M3K1IZG</v>
          </cell>
        </row>
        <row r="383">
          <cell r="A383">
            <v>963074</v>
          </cell>
          <cell r="G383" t="str">
            <v>1IZGXEVC</v>
          </cell>
        </row>
        <row r="384">
          <cell r="A384">
            <v>174185</v>
          </cell>
          <cell r="G384" t="str">
            <v>EVCTAR8P6N4L</v>
          </cell>
        </row>
        <row r="385">
          <cell r="A385">
            <v>1852</v>
          </cell>
          <cell r="G385" t="str">
            <v>R8P6N4</v>
          </cell>
        </row>
        <row r="386">
          <cell r="A386">
            <v>2963</v>
          </cell>
          <cell r="G386" t="str">
            <v>4L2J0H</v>
          </cell>
        </row>
        <row r="387">
          <cell r="A387">
            <v>3074</v>
          </cell>
          <cell r="G387" t="str">
            <v>HYFWDU</v>
          </cell>
        </row>
        <row r="388">
          <cell r="A388">
            <v>418529</v>
          </cell>
          <cell r="G388" t="str">
            <v>UBS9Q7O5M3</v>
          </cell>
        </row>
        <row r="389">
          <cell r="A389">
            <v>529630</v>
          </cell>
          <cell r="G389" t="str">
            <v>7O5M3K1IZGXEV</v>
          </cell>
        </row>
        <row r="390">
          <cell r="A390">
            <v>630741</v>
          </cell>
          <cell r="G390" t="str">
            <v>K1IZGXEVCTAR</v>
          </cell>
        </row>
        <row r="391">
          <cell r="A391">
            <v>7418</v>
          </cell>
          <cell r="G391" t="str">
            <v>XEVCTA</v>
          </cell>
        </row>
        <row r="392">
          <cell r="A392">
            <v>8529</v>
          </cell>
          <cell r="G392" t="str">
            <v>AR8P6N</v>
          </cell>
        </row>
        <row r="393">
          <cell r="A393">
            <v>963074</v>
          </cell>
          <cell r="G393" t="str">
            <v>N4L2J0HYFW</v>
          </cell>
        </row>
        <row r="394">
          <cell r="A394">
            <v>174185</v>
          </cell>
          <cell r="G394" t="str">
            <v>0HYFWDUBS9Q7O</v>
          </cell>
        </row>
        <row r="395">
          <cell r="A395">
            <v>185296</v>
          </cell>
          <cell r="G395" t="str">
            <v>DUBS9Q7O5M3K</v>
          </cell>
        </row>
        <row r="396">
          <cell r="A396">
            <v>2963</v>
          </cell>
          <cell r="G396" t="str">
            <v>Q7O5M3</v>
          </cell>
        </row>
        <row r="397">
          <cell r="A397">
            <v>3074</v>
          </cell>
          <cell r="G397" t="str">
            <v>3K1IZG</v>
          </cell>
        </row>
        <row r="398">
          <cell r="A398">
            <v>4185</v>
          </cell>
          <cell r="G398" t="str">
            <v>GXEVCT</v>
          </cell>
        </row>
        <row r="399">
          <cell r="A399">
            <v>5296</v>
          </cell>
          <cell r="G399" t="str">
            <v>TAR8P6</v>
          </cell>
        </row>
        <row r="400">
          <cell r="A400">
            <v>6307</v>
          </cell>
          <cell r="G400" t="str">
            <v>6N4L2J</v>
          </cell>
        </row>
        <row r="401">
          <cell r="A401">
            <v>741852</v>
          </cell>
          <cell r="G401" t="str">
            <v>J0HYFW</v>
          </cell>
        </row>
        <row r="402">
          <cell r="A402">
            <v>852963</v>
          </cell>
          <cell r="G402" t="str">
            <v>WDUBS9Q7O5</v>
          </cell>
        </row>
        <row r="403">
          <cell r="A403">
            <v>963074</v>
          </cell>
          <cell r="G403" t="str">
            <v>9Q7O5M3K1IZGX</v>
          </cell>
        </row>
        <row r="404">
          <cell r="A404">
            <v>174185</v>
          </cell>
          <cell r="G404" t="str">
            <v>M3K1IZGXEVCT</v>
          </cell>
        </row>
        <row r="405">
          <cell r="A405">
            <v>185296</v>
          </cell>
          <cell r="G405" t="str">
            <v>ZGXEVC</v>
          </cell>
        </row>
        <row r="406">
          <cell r="A406">
            <v>296307</v>
          </cell>
          <cell r="G406" t="str">
            <v>CTAR8P</v>
          </cell>
        </row>
        <row r="407">
          <cell r="A407">
            <v>307418</v>
          </cell>
          <cell r="G407" t="str">
            <v>P6N4L2</v>
          </cell>
        </row>
        <row r="408">
          <cell r="A408">
            <v>418529</v>
          </cell>
          <cell r="G408" t="str">
            <v>2J0HYF</v>
          </cell>
        </row>
        <row r="409">
          <cell r="A409">
            <v>529630</v>
          </cell>
          <cell r="G409" t="str">
            <v>FWDUBS</v>
          </cell>
        </row>
        <row r="410">
          <cell r="A410">
            <v>630741</v>
          </cell>
          <cell r="G410" t="str">
            <v>S9Q7O5</v>
          </cell>
        </row>
        <row r="411">
          <cell r="A411">
            <v>741852</v>
          </cell>
          <cell r="G411" t="str">
            <v>5M3K1IZGXEV</v>
          </cell>
        </row>
        <row r="412">
          <cell r="A412">
            <v>852963</v>
          </cell>
          <cell r="G412" t="str">
            <v>IZGXEVCTAR8P6N</v>
          </cell>
        </row>
        <row r="413">
          <cell r="A413">
            <v>963074</v>
          </cell>
          <cell r="G413" t="str">
            <v>VCTAR8P6N4L2J</v>
          </cell>
        </row>
        <row r="414">
          <cell r="A414">
            <v>174185</v>
          </cell>
          <cell r="G414" t="str">
            <v>8P6N4L</v>
          </cell>
        </row>
        <row r="415">
          <cell r="A415">
            <v>185296</v>
          </cell>
          <cell r="G415" t="str">
            <v>L2J0HY</v>
          </cell>
        </row>
        <row r="416">
          <cell r="A416">
            <v>296307</v>
          </cell>
          <cell r="G416" t="str">
            <v>YFWDUB</v>
          </cell>
        </row>
        <row r="417">
          <cell r="A417">
            <v>307418</v>
          </cell>
          <cell r="G417" t="str">
            <v>BS9Q7O</v>
          </cell>
        </row>
        <row r="418">
          <cell r="A418">
            <v>418529</v>
          </cell>
          <cell r="G418" t="str">
            <v>O5M3K1</v>
          </cell>
        </row>
        <row r="419">
          <cell r="A419">
            <v>529630</v>
          </cell>
          <cell r="G419" t="str">
            <v>1IZGXE</v>
          </cell>
        </row>
        <row r="420">
          <cell r="A420">
            <v>630741</v>
          </cell>
          <cell r="G420" t="str">
            <v>EVCTAR</v>
          </cell>
        </row>
        <row r="421">
          <cell r="A421">
            <v>741852</v>
          </cell>
          <cell r="G421" t="str">
            <v>R8P6N4</v>
          </cell>
        </row>
        <row r="422">
          <cell r="A422">
            <v>852963</v>
          </cell>
          <cell r="G422" t="str">
            <v>4L2J0HY</v>
          </cell>
        </row>
        <row r="423">
          <cell r="A423">
            <v>9630</v>
          </cell>
          <cell r="G423" t="str">
            <v>HYFW</v>
          </cell>
        </row>
        <row r="424">
          <cell r="A424">
            <v>1741</v>
          </cell>
          <cell r="G424" t="str">
            <v>UBS9Q7O5M</v>
          </cell>
        </row>
        <row r="425">
          <cell r="A425">
            <v>1852</v>
          </cell>
          <cell r="G425" t="str">
            <v>7O5M3K1I</v>
          </cell>
        </row>
        <row r="426">
          <cell r="A426">
            <v>2963</v>
          </cell>
          <cell r="G426" t="str">
            <v>K1IZGXEVC</v>
          </cell>
        </row>
        <row r="427">
          <cell r="A427">
            <v>3074</v>
          </cell>
          <cell r="G427" t="str">
            <v>XEVC</v>
          </cell>
        </row>
        <row r="428">
          <cell r="A428">
            <v>4185</v>
          </cell>
          <cell r="G428" t="str">
            <v>AR8P6N4L2</v>
          </cell>
        </row>
        <row r="429">
          <cell r="A429">
            <v>5296</v>
          </cell>
          <cell r="G429" t="str">
            <v>N4L2</v>
          </cell>
        </row>
        <row r="430">
          <cell r="A430">
            <v>6307</v>
          </cell>
          <cell r="G430" t="str">
            <v>0HYFWDUBS</v>
          </cell>
        </row>
        <row r="431">
          <cell r="A431">
            <v>7418</v>
          </cell>
          <cell r="G431" t="str">
            <v>DUBS</v>
          </cell>
        </row>
        <row r="432">
          <cell r="A432">
            <v>8529</v>
          </cell>
          <cell r="G432" t="str">
            <v>Q7O5M3K1I</v>
          </cell>
        </row>
        <row r="433">
          <cell r="A433">
            <v>9630</v>
          </cell>
          <cell r="G433" t="str">
            <v>3K1IZGXE</v>
          </cell>
        </row>
        <row r="434">
          <cell r="A434">
            <v>1741</v>
          </cell>
          <cell r="G434" t="str">
            <v>GXEVCTA</v>
          </cell>
        </row>
        <row r="435">
          <cell r="A435">
            <v>1852</v>
          </cell>
          <cell r="G435" t="str">
            <v>TAR8</v>
          </cell>
        </row>
        <row r="436">
          <cell r="A436">
            <v>2963</v>
          </cell>
          <cell r="G436" t="str">
            <v>6N4L2J0HY</v>
          </cell>
        </row>
        <row r="437">
          <cell r="A437">
            <v>3074</v>
          </cell>
          <cell r="G437" t="str">
            <v>J0HY</v>
          </cell>
        </row>
        <row r="438">
          <cell r="A438">
            <v>4185</v>
          </cell>
          <cell r="G438" t="str">
            <v>WDUBS9Q7O</v>
          </cell>
        </row>
        <row r="439">
          <cell r="A439">
            <v>529630</v>
          </cell>
          <cell r="G439" t="str">
            <v>9Q7O</v>
          </cell>
        </row>
        <row r="440">
          <cell r="A440">
            <v>630741</v>
          </cell>
          <cell r="G440" t="str">
            <v>M3K1IZ</v>
          </cell>
        </row>
        <row r="441">
          <cell r="A441">
            <v>741852</v>
          </cell>
          <cell r="G441" t="str">
            <v>ZGXE</v>
          </cell>
        </row>
        <row r="442">
          <cell r="A442">
            <v>8529</v>
          </cell>
          <cell r="G442" t="str">
            <v>CTAR8P6N4</v>
          </cell>
        </row>
        <row r="443">
          <cell r="A443">
            <v>9630</v>
          </cell>
          <cell r="G443" t="str">
            <v>P6N4L2J0HY</v>
          </cell>
        </row>
        <row r="444">
          <cell r="A444">
            <v>174185</v>
          </cell>
          <cell r="G444" t="str">
            <v>2J0HYFWD</v>
          </cell>
        </row>
        <row r="445">
          <cell r="A445">
            <v>18529</v>
          </cell>
          <cell r="G445" t="str">
            <v>FWDUBS9Q7</v>
          </cell>
        </row>
        <row r="446">
          <cell r="A446">
            <v>29630</v>
          </cell>
          <cell r="G446" t="str">
            <v>S9Q7O5M3</v>
          </cell>
        </row>
        <row r="447">
          <cell r="A447">
            <v>3074</v>
          </cell>
          <cell r="G447" t="str">
            <v>5M3K1</v>
          </cell>
        </row>
        <row r="448">
          <cell r="A448">
            <v>4185</v>
          </cell>
          <cell r="G448" t="str">
            <v>IZGXE</v>
          </cell>
        </row>
        <row r="449">
          <cell r="A449">
            <v>5296</v>
          </cell>
          <cell r="G449" t="str">
            <v>VCTAR</v>
          </cell>
        </row>
        <row r="450">
          <cell r="A450">
            <v>630741</v>
          </cell>
          <cell r="G450" t="str">
            <v>8P6N4L2J0H</v>
          </cell>
        </row>
        <row r="451">
          <cell r="A451">
            <v>741852</v>
          </cell>
          <cell r="G451" t="str">
            <v>L2J0HYFWDUBS9</v>
          </cell>
        </row>
        <row r="452">
          <cell r="A452">
            <v>852963</v>
          </cell>
          <cell r="G452" t="str">
            <v>YFWDUBS9Q7O5</v>
          </cell>
        </row>
        <row r="453">
          <cell r="A453">
            <v>9630</v>
          </cell>
          <cell r="G453" t="str">
            <v>BS9Q7</v>
          </cell>
        </row>
        <row r="454">
          <cell r="A454">
            <v>1741</v>
          </cell>
          <cell r="G454" t="str">
            <v>O5M3K</v>
          </cell>
        </row>
        <row r="455">
          <cell r="A455">
            <v>185296</v>
          </cell>
          <cell r="G455" t="str">
            <v>1IZGXEVC</v>
          </cell>
        </row>
        <row r="456">
          <cell r="A456">
            <v>296307</v>
          </cell>
          <cell r="G456" t="str">
            <v>EVCTAR8P6</v>
          </cell>
        </row>
        <row r="457">
          <cell r="A457">
            <v>307418</v>
          </cell>
          <cell r="G457" t="str">
            <v>R8P6N4L2J</v>
          </cell>
        </row>
        <row r="458">
          <cell r="A458">
            <v>418529</v>
          </cell>
          <cell r="G458" t="str">
            <v>4L2J0HYFWD</v>
          </cell>
        </row>
        <row r="459">
          <cell r="A459">
            <v>529630</v>
          </cell>
          <cell r="G459" t="str">
            <v>HYFWDUBS9</v>
          </cell>
        </row>
        <row r="460">
          <cell r="A460">
            <v>630741</v>
          </cell>
          <cell r="G460" t="str">
            <v>UBS9Q7O5M3</v>
          </cell>
        </row>
        <row r="461">
          <cell r="A461">
            <v>741852</v>
          </cell>
          <cell r="G461" t="str">
            <v>7O5M3K1IZG</v>
          </cell>
        </row>
        <row r="462">
          <cell r="A462">
            <v>8529</v>
          </cell>
          <cell r="G462" t="str">
            <v>K1IZG</v>
          </cell>
        </row>
        <row r="463">
          <cell r="A463">
            <v>9630</v>
          </cell>
          <cell r="G463" t="str">
            <v>XEVCT</v>
          </cell>
        </row>
        <row r="464">
          <cell r="A464">
            <v>1741</v>
          </cell>
          <cell r="G464" t="str">
            <v>AR8P6</v>
          </cell>
        </row>
        <row r="465">
          <cell r="A465">
            <v>1852</v>
          </cell>
          <cell r="G465" t="str">
            <v>N4L2J</v>
          </cell>
        </row>
        <row r="466">
          <cell r="A466">
            <v>2963</v>
          </cell>
          <cell r="G466" t="str">
            <v>0HYFWD</v>
          </cell>
        </row>
        <row r="467">
          <cell r="A467">
            <v>307418</v>
          </cell>
          <cell r="G467" t="str">
            <v>DUBS9Q7O5</v>
          </cell>
        </row>
        <row r="468">
          <cell r="A468">
            <v>418529</v>
          </cell>
          <cell r="G468" t="str">
            <v>Q7O5M3K1IZ</v>
          </cell>
        </row>
        <row r="469">
          <cell r="A469">
            <v>529630</v>
          </cell>
          <cell r="G469" t="str">
            <v>3K1IZGXEVC</v>
          </cell>
        </row>
        <row r="470">
          <cell r="A470">
            <v>630741</v>
          </cell>
          <cell r="G470" t="str">
            <v>GXEVCTAR8P</v>
          </cell>
        </row>
        <row r="471">
          <cell r="A471">
            <v>741852</v>
          </cell>
          <cell r="G471" t="str">
            <v>TAR8P6N4L</v>
          </cell>
        </row>
        <row r="472">
          <cell r="A472">
            <v>852963</v>
          </cell>
          <cell r="G472" t="str">
            <v>6N4L2J0HY</v>
          </cell>
        </row>
        <row r="473">
          <cell r="A473">
            <v>963074</v>
          </cell>
          <cell r="G473" t="str">
            <v>J0HYFWDU</v>
          </cell>
        </row>
        <row r="474">
          <cell r="A474">
            <v>174185</v>
          </cell>
          <cell r="G474" t="str">
            <v>WDUBS9Q7O5M3</v>
          </cell>
        </row>
        <row r="475">
          <cell r="A475">
            <v>185296</v>
          </cell>
          <cell r="G475" t="str">
            <v>9Q7O5M3</v>
          </cell>
        </row>
        <row r="476">
          <cell r="A476">
            <v>2963</v>
          </cell>
          <cell r="G476" t="str">
            <v>M3K1IZ</v>
          </cell>
        </row>
        <row r="477">
          <cell r="A477">
            <v>3074</v>
          </cell>
          <cell r="G477" t="str">
            <v>ZGXEVC</v>
          </cell>
        </row>
        <row r="478">
          <cell r="A478">
            <v>4185</v>
          </cell>
          <cell r="G478" t="str">
            <v>CTAR8P</v>
          </cell>
        </row>
        <row r="479">
          <cell r="A479">
            <v>529630</v>
          </cell>
          <cell r="G479" t="str">
            <v>P6N4L2J0HY</v>
          </cell>
        </row>
        <row r="480">
          <cell r="A480">
            <v>630741</v>
          </cell>
          <cell r="G480" t="str">
            <v>2J0HYFWDUBS9Q</v>
          </cell>
        </row>
        <row r="481">
          <cell r="A481">
            <v>741852</v>
          </cell>
          <cell r="G481" t="str">
            <v>FWDUBS9Q7O5M</v>
          </cell>
        </row>
        <row r="482">
          <cell r="A482">
            <v>8529</v>
          </cell>
          <cell r="G482" t="str">
            <v>S9Q7O5</v>
          </cell>
        </row>
        <row r="483">
          <cell r="A483">
            <v>9630</v>
          </cell>
          <cell r="G483" t="str">
            <v>5M3K1I</v>
          </cell>
        </row>
        <row r="484">
          <cell r="A484">
            <v>1741</v>
          </cell>
          <cell r="G484" t="str">
            <v>IZGXEV</v>
          </cell>
        </row>
        <row r="485">
          <cell r="A485">
            <v>1852</v>
          </cell>
          <cell r="G485" t="str">
            <v>VCTAR8</v>
          </cell>
        </row>
        <row r="486">
          <cell r="A486">
            <v>2963</v>
          </cell>
          <cell r="G486" t="str">
            <v>8P6N4L</v>
          </cell>
        </row>
        <row r="487">
          <cell r="A487">
            <v>3074</v>
          </cell>
          <cell r="G487" t="str">
            <v>L2J0HY</v>
          </cell>
        </row>
        <row r="488">
          <cell r="A488">
            <v>4185</v>
          </cell>
          <cell r="G488" t="str">
            <v>YFWDUB</v>
          </cell>
        </row>
        <row r="489">
          <cell r="A489">
            <v>529630</v>
          </cell>
          <cell r="G489" t="str">
            <v>BS9Q7O5M3K</v>
          </cell>
        </row>
        <row r="490">
          <cell r="A490">
            <v>630741</v>
          </cell>
          <cell r="G490" t="str">
            <v>O5M3K1IZGXEVC</v>
          </cell>
        </row>
        <row r="491">
          <cell r="A491">
            <v>741852</v>
          </cell>
          <cell r="G491" t="str">
            <v>1IZGXEVCTAR8</v>
          </cell>
        </row>
        <row r="492">
          <cell r="A492">
            <v>852963</v>
          </cell>
          <cell r="G492" t="str">
            <v>EVCTAR</v>
          </cell>
        </row>
        <row r="493">
          <cell r="A493">
            <v>963074</v>
          </cell>
          <cell r="G493" t="str">
            <v>R8P6N4</v>
          </cell>
        </row>
        <row r="494">
          <cell r="A494">
            <v>174185</v>
          </cell>
          <cell r="G494" t="str">
            <v>4L2J0H</v>
          </cell>
        </row>
        <row r="495">
          <cell r="A495">
            <v>185296</v>
          </cell>
          <cell r="G495" t="str">
            <v>HYFWDU</v>
          </cell>
        </row>
        <row r="496">
          <cell r="A496">
            <v>296307</v>
          </cell>
          <cell r="G496" t="str">
            <v>UBS9Q7</v>
          </cell>
        </row>
        <row r="497">
          <cell r="A497">
            <v>307418</v>
          </cell>
          <cell r="G497" t="str">
            <v>7O5M3K</v>
          </cell>
        </row>
        <row r="498">
          <cell r="A498">
            <v>418529</v>
          </cell>
          <cell r="G498" t="str">
            <v>K1IZGX</v>
          </cell>
        </row>
        <row r="499">
          <cell r="A499">
            <v>529630</v>
          </cell>
          <cell r="G499" t="str">
            <v>XEVCTA</v>
          </cell>
        </row>
        <row r="500">
          <cell r="A500">
            <v>630741</v>
          </cell>
          <cell r="G500" t="str">
            <v>AR8P6N4L2J</v>
          </cell>
        </row>
        <row r="501">
          <cell r="A501">
            <v>741852</v>
          </cell>
          <cell r="G501" t="str">
            <v>N4L2J0HYFWDUB</v>
          </cell>
        </row>
        <row r="502">
          <cell r="A502">
            <v>852963</v>
          </cell>
          <cell r="G502" t="str">
            <v>0HYFWDUBS9Q7</v>
          </cell>
        </row>
        <row r="503">
          <cell r="A503">
            <v>963074</v>
          </cell>
          <cell r="G503" t="str">
            <v>DUBS9Q</v>
          </cell>
        </row>
        <row r="504">
          <cell r="A504">
            <v>174185</v>
          </cell>
          <cell r="G504" t="str">
            <v>Q7O5M3</v>
          </cell>
        </row>
        <row r="505">
          <cell r="A505">
            <v>185296</v>
          </cell>
          <cell r="G505" t="str">
            <v>3K1IZG</v>
          </cell>
        </row>
        <row r="506">
          <cell r="A506">
            <v>296307</v>
          </cell>
          <cell r="G506" t="str">
            <v>GXEVCT</v>
          </cell>
        </row>
        <row r="507">
          <cell r="A507">
            <v>307418</v>
          </cell>
          <cell r="G507" t="str">
            <v>TAR8P6</v>
          </cell>
        </row>
        <row r="508">
          <cell r="A508">
            <v>418529</v>
          </cell>
          <cell r="G508" t="str">
            <v>6N4L2J</v>
          </cell>
        </row>
        <row r="509">
          <cell r="A509">
            <v>529630</v>
          </cell>
          <cell r="G509" t="str">
            <v>J0HYFW</v>
          </cell>
        </row>
        <row r="510">
          <cell r="A510">
            <v>630741</v>
          </cell>
          <cell r="G510" t="str">
            <v>WDUBS9</v>
          </cell>
        </row>
        <row r="511">
          <cell r="A511">
            <v>741852</v>
          </cell>
          <cell r="G511" t="str">
            <v>9Q7O5M3K1IZ</v>
          </cell>
        </row>
        <row r="512">
          <cell r="A512">
            <v>852963</v>
          </cell>
          <cell r="G512" t="str">
            <v>M3K1IZGXEVCTAR</v>
          </cell>
        </row>
        <row r="513">
          <cell r="A513">
            <v>963074</v>
          </cell>
          <cell r="G513" t="str">
            <v>ZGXEVCTAR8P6N</v>
          </cell>
        </row>
        <row r="514">
          <cell r="A514">
            <v>174185</v>
          </cell>
          <cell r="G514" t="str">
            <v>CTAR8P</v>
          </cell>
        </row>
        <row r="515">
          <cell r="A515">
            <v>185296</v>
          </cell>
          <cell r="G515" t="str">
            <v>P6N4L2</v>
          </cell>
        </row>
        <row r="516">
          <cell r="A516">
            <v>296307</v>
          </cell>
          <cell r="G516" t="str">
            <v>2J0HYF</v>
          </cell>
        </row>
        <row r="517">
          <cell r="A517">
            <v>307418</v>
          </cell>
          <cell r="G517" t="str">
            <v>FWDUBS</v>
          </cell>
        </row>
        <row r="518">
          <cell r="A518">
            <v>4185</v>
          </cell>
          <cell r="G518" t="str">
            <v>S9Q7</v>
          </cell>
        </row>
        <row r="519">
          <cell r="A519">
            <v>5296</v>
          </cell>
          <cell r="G519" t="str">
            <v>5M3K1IZGX</v>
          </cell>
        </row>
        <row r="520">
          <cell r="A520">
            <v>6307</v>
          </cell>
          <cell r="G520" t="str">
            <v>IZGXEVCT</v>
          </cell>
        </row>
        <row r="521">
          <cell r="A521">
            <v>7418</v>
          </cell>
          <cell r="G521" t="str">
            <v>VCTAR8P</v>
          </cell>
        </row>
        <row r="522">
          <cell r="A522">
            <v>8529</v>
          </cell>
          <cell r="G522" t="str">
            <v>8P6N</v>
          </cell>
        </row>
        <row r="523">
          <cell r="A523">
            <v>9630</v>
          </cell>
          <cell r="G523" t="str">
            <v>L2J0HYFWD</v>
          </cell>
        </row>
        <row r="524">
          <cell r="A524">
            <v>1741</v>
          </cell>
          <cell r="G524" t="str">
            <v>YFWD</v>
          </cell>
        </row>
        <row r="525">
          <cell r="A525">
            <v>1852</v>
          </cell>
          <cell r="G525" t="str">
            <v>BS9Q7O5M</v>
          </cell>
        </row>
        <row r="526">
          <cell r="A526">
            <v>2963</v>
          </cell>
          <cell r="G526" t="str">
            <v>O5M3</v>
          </cell>
        </row>
        <row r="527">
          <cell r="A527">
            <v>3074</v>
          </cell>
          <cell r="G527" t="str">
            <v>1IZGXEV</v>
          </cell>
        </row>
        <row r="528">
          <cell r="A528">
            <v>4185</v>
          </cell>
          <cell r="G528" t="str">
            <v>EVCT</v>
          </cell>
        </row>
        <row r="529">
          <cell r="A529">
            <v>5296</v>
          </cell>
          <cell r="G529" t="str">
            <v>R8P6N4L2J</v>
          </cell>
        </row>
        <row r="530">
          <cell r="A530">
            <v>6307</v>
          </cell>
          <cell r="G530" t="str">
            <v>4L2J</v>
          </cell>
        </row>
        <row r="531">
          <cell r="A531">
            <v>741852</v>
          </cell>
          <cell r="G531" t="str">
            <v>HYFWDU</v>
          </cell>
        </row>
        <row r="532">
          <cell r="A532">
            <v>852963</v>
          </cell>
          <cell r="G532" t="str">
            <v>UBS9</v>
          </cell>
        </row>
        <row r="533">
          <cell r="A533">
            <v>9630</v>
          </cell>
          <cell r="G533" t="str">
            <v>7O5M3K1IZ</v>
          </cell>
        </row>
        <row r="534">
          <cell r="A534">
            <v>1741</v>
          </cell>
          <cell r="G534" t="str">
            <v>K1IZGXEVCT</v>
          </cell>
        </row>
        <row r="535">
          <cell r="A535">
            <v>185296</v>
          </cell>
          <cell r="G535" t="str">
            <v>XEVCTAR8</v>
          </cell>
        </row>
        <row r="536">
          <cell r="A536">
            <v>2963</v>
          </cell>
          <cell r="G536" t="str">
            <v>AR8P6</v>
          </cell>
        </row>
        <row r="537">
          <cell r="A537">
            <v>3074</v>
          </cell>
          <cell r="G537" t="str">
            <v>N4L2J</v>
          </cell>
        </row>
        <row r="538">
          <cell r="A538">
            <v>4185</v>
          </cell>
          <cell r="G538" t="str">
            <v>0HYFW</v>
          </cell>
        </row>
        <row r="539">
          <cell r="A539">
            <v>529630</v>
          </cell>
          <cell r="G539" t="str">
            <v>DUBS9Q7O5M</v>
          </cell>
        </row>
        <row r="540">
          <cell r="A540">
            <v>630741</v>
          </cell>
          <cell r="G540" t="str">
            <v>Q7O5M3K1IZGXE</v>
          </cell>
        </row>
        <row r="541">
          <cell r="A541">
            <v>741852</v>
          </cell>
          <cell r="G541" t="str">
            <v>3K1IZGXEVC</v>
          </cell>
        </row>
        <row r="542">
          <cell r="A542">
            <v>8529</v>
          </cell>
          <cell r="G542" t="str">
            <v>GXEVC</v>
          </cell>
        </row>
        <row r="543">
          <cell r="A543">
            <v>9630</v>
          </cell>
          <cell r="G543" t="str">
            <v>TAR8P</v>
          </cell>
        </row>
        <row r="544">
          <cell r="A544">
            <v>174185</v>
          </cell>
          <cell r="G544" t="str">
            <v>6N4L2J0H</v>
          </cell>
        </row>
        <row r="545">
          <cell r="A545">
            <v>185296</v>
          </cell>
          <cell r="G545" t="str">
            <v>J0HYFWDUB</v>
          </cell>
        </row>
        <row r="546">
          <cell r="A546">
            <v>296307</v>
          </cell>
          <cell r="G546" t="str">
            <v>WDUBS9Q7O</v>
          </cell>
        </row>
        <row r="547">
          <cell r="A547">
            <v>307418</v>
          </cell>
          <cell r="G547" t="str">
            <v>9Q7O5M3K1I</v>
          </cell>
        </row>
        <row r="548">
          <cell r="A548">
            <v>418529</v>
          </cell>
          <cell r="G548" t="str">
            <v>M3K1IZGXE</v>
          </cell>
        </row>
        <row r="549">
          <cell r="A549">
            <v>529630</v>
          </cell>
          <cell r="G549" t="str">
            <v>ZGXEVCTAR8</v>
          </cell>
        </row>
        <row r="550">
          <cell r="A550">
            <v>630741</v>
          </cell>
          <cell r="G550" t="str">
            <v>CTAR8P6N4L</v>
          </cell>
        </row>
        <row r="551">
          <cell r="A551">
            <v>741852</v>
          </cell>
          <cell r="G551" t="str">
            <v>P6N4L2J</v>
          </cell>
        </row>
        <row r="552">
          <cell r="A552">
            <v>8529</v>
          </cell>
          <cell r="G552" t="str">
            <v>2J0HY</v>
          </cell>
        </row>
        <row r="553">
          <cell r="A553">
            <v>9630</v>
          </cell>
          <cell r="G553" t="str">
            <v>FWDUB</v>
          </cell>
        </row>
        <row r="554">
          <cell r="A554">
            <v>1741</v>
          </cell>
          <cell r="G554" t="str">
            <v>S9Q7O</v>
          </cell>
        </row>
        <row r="555">
          <cell r="A555">
            <v>1852</v>
          </cell>
          <cell r="G555" t="str">
            <v>5M3K1</v>
          </cell>
        </row>
        <row r="556">
          <cell r="A556">
            <v>2963</v>
          </cell>
          <cell r="G556" t="str">
            <v>IZGXEV</v>
          </cell>
        </row>
        <row r="557">
          <cell r="A557">
            <v>307418</v>
          </cell>
          <cell r="G557" t="str">
            <v>VCTAR8P6N</v>
          </cell>
        </row>
        <row r="558">
          <cell r="A558">
            <v>418529</v>
          </cell>
          <cell r="G558" t="str">
            <v>8P6N4L2J0H</v>
          </cell>
        </row>
        <row r="559">
          <cell r="A559">
            <v>529630</v>
          </cell>
          <cell r="G559" t="str">
            <v>L2J0HYFWDU</v>
          </cell>
        </row>
        <row r="560">
          <cell r="A560">
            <v>630741</v>
          </cell>
          <cell r="G560" t="str">
            <v>YFWDUBS9Q7</v>
          </cell>
        </row>
        <row r="561">
          <cell r="A561">
            <v>741852</v>
          </cell>
          <cell r="G561" t="str">
            <v>BS9Q7O5M3</v>
          </cell>
        </row>
        <row r="562">
          <cell r="A562">
            <v>852963</v>
          </cell>
          <cell r="G562" t="str">
            <v>O5M3K1IZG</v>
          </cell>
        </row>
        <row r="563">
          <cell r="A563">
            <v>963074</v>
          </cell>
          <cell r="G563" t="str">
            <v>1IZGXEVC</v>
          </cell>
        </row>
        <row r="564">
          <cell r="A564">
            <v>174185</v>
          </cell>
          <cell r="G564" t="str">
            <v>EVCTAR8P6N4L</v>
          </cell>
        </row>
        <row r="565">
          <cell r="A565">
            <v>185296</v>
          </cell>
          <cell r="G565" t="str">
            <v>R8P6N4L</v>
          </cell>
        </row>
        <row r="566">
          <cell r="A566">
            <v>2963</v>
          </cell>
          <cell r="G566" t="str">
            <v>4L2J0H</v>
          </cell>
        </row>
        <row r="567">
          <cell r="A567">
            <v>3074</v>
          </cell>
          <cell r="G567" t="str">
            <v>HYFWDU</v>
          </cell>
        </row>
        <row r="568">
          <cell r="A568">
            <v>4185</v>
          </cell>
          <cell r="G568" t="str">
            <v>UBS9Q7</v>
          </cell>
        </row>
        <row r="569">
          <cell r="A569">
            <v>529630</v>
          </cell>
          <cell r="G569" t="str">
            <v>7O5M3K1IZG</v>
          </cell>
        </row>
        <row r="570">
          <cell r="A570">
            <v>630741</v>
          </cell>
          <cell r="G570" t="str">
            <v>K1IZGXEVCTAR8</v>
          </cell>
        </row>
        <row r="571">
          <cell r="A571">
            <v>741852</v>
          </cell>
          <cell r="G571" t="str">
            <v>XEVCTAR8P6</v>
          </cell>
        </row>
        <row r="572">
          <cell r="A572">
            <v>8529</v>
          </cell>
          <cell r="G572" t="str">
            <v>AR8P6N</v>
          </cell>
        </row>
        <row r="573">
          <cell r="A573">
            <v>9630</v>
          </cell>
          <cell r="G573" t="str">
            <v>N4L2J0</v>
          </cell>
        </row>
        <row r="574">
          <cell r="A574">
            <v>1741</v>
          </cell>
          <cell r="G574" t="str">
            <v>0HYFWD</v>
          </cell>
        </row>
        <row r="575">
          <cell r="A575">
            <v>1852</v>
          </cell>
          <cell r="G575" t="str">
            <v>DUBS9Q</v>
          </cell>
        </row>
        <row r="576">
          <cell r="A576">
            <v>2963</v>
          </cell>
          <cell r="G576" t="str">
            <v>Q7O5M3</v>
          </cell>
        </row>
        <row r="577">
          <cell r="A577">
            <v>3074</v>
          </cell>
          <cell r="G577" t="str">
            <v>3K1IZG</v>
          </cell>
        </row>
        <row r="578">
          <cell r="A578">
            <v>4185</v>
          </cell>
          <cell r="G578" t="str">
            <v>GXEVCT</v>
          </cell>
        </row>
        <row r="579">
          <cell r="A579">
            <v>529630</v>
          </cell>
          <cell r="G579" t="str">
            <v>TAR8P6N4L2</v>
          </cell>
        </row>
        <row r="580">
          <cell r="A580">
            <v>630741</v>
          </cell>
          <cell r="G580" t="str">
            <v>6N4L2J0HYFWDU</v>
          </cell>
        </row>
        <row r="581">
          <cell r="A581">
            <v>741852</v>
          </cell>
          <cell r="G581" t="str">
            <v>J0HYFWDUBS</v>
          </cell>
        </row>
        <row r="582">
          <cell r="A582">
            <v>852963</v>
          </cell>
          <cell r="G582" t="str">
            <v>WDUBS9</v>
          </cell>
        </row>
        <row r="583">
          <cell r="A583">
            <v>963074</v>
          </cell>
          <cell r="G583" t="str">
            <v>9Q7O5M</v>
          </cell>
        </row>
        <row r="584">
          <cell r="A584">
            <v>174185</v>
          </cell>
          <cell r="G584" t="str">
            <v>M3K1IZ</v>
          </cell>
        </row>
        <row r="585">
          <cell r="A585">
            <v>185296</v>
          </cell>
          <cell r="G585" t="str">
            <v>ZGXEVC</v>
          </cell>
        </row>
        <row r="586">
          <cell r="A586">
            <v>296307</v>
          </cell>
          <cell r="G586" t="str">
            <v>CTAR8P</v>
          </cell>
        </row>
        <row r="587">
          <cell r="A587">
            <v>307418</v>
          </cell>
          <cell r="G587" t="str">
            <v>P6N4L2</v>
          </cell>
        </row>
        <row r="588">
          <cell r="A588">
            <v>418529</v>
          </cell>
          <cell r="G588" t="str">
            <v>2J0HYF</v>
          </cell>
        </row>
        <row r="589">
          <cell r="A589">
            <v>529630</v>
          </cell>
          <cell r="G589" t="str">
            <v>FWDUBS</v>
          </cell>
        </row>
        <row r="590">
          <cell r="A590">
            <v>630741</v>
          </cell>
          <cell r="G590" t="str">
            <v>S9Q7O5M3K1</v>
          </cell>
        </row>
        <row r="591">
          <cell r="A591">
            <v>741852</v>
          </cell>
          <cell r="G591" t="str">
            <v>5M3K1IZGXEVCT</v>
          </cell>
        </row>
        <row r="592">
          <cell r="A592">
            <v>852963</v>
          </cell>
          <cell r="G592" t="str">
            <v>IZGXEVCTAR</v>
          </cell>
        </row>
        <row r="593">
          <cell r="A593">
            <v>963074</v>
          </cell>
          <cell r="G593" t="str">
            <v>VCTAR8</v>
          </cell>
        </row>
        <row r="594">
          <cell r="A594">
            <v>174185</v>
          </cell>
          <cell r="G594" t="str">
            <v>8P6N4L</v>
          </cell>
        </row>
        <row r="595">
          <cell r="A595">
            <v>185296</v>
          </cell>
          <cell r="G595" t="str">
            <v>L2J0HY</v>
          </cell>
        </row>
        <row r="596">
          <cell r="A596">
            <v>296307</v>
          </cell>
          <cell r="G596" t="str">
            <v>YFWDUB</v>
          </cell>
        </row>
        <row r="597">
          <cell r="A597">
            <v>307418</v>
          </cell>
          <cell r="G597" t="str">
            <v>BS9Q7O</v>
          </cell>
        </row>
        <row r="598">
          <cell r="A598">
            <v>418529</v>
          </cell>
          <cell r="G598" t="str">
            <v>O5M3K1</v>
          </cell>
        </row>
        <row r="599">
          <cell r="A599">
            <v>529630</v>
          </cell>
          <cell r="G599" t="str">
            <v>1IZGXE</v>
          </cell>
        </row>
        <row r="600">
          <cell r="A600">
            <v>630741</v>
          </cell>
          <cell r="G600" t="str">
            <v>EVCTAR</v>
          </cell>
        </row>
        <row r="601">
          <cell r="A601">
            <v>741852</v>
          </cell>
          <cell r="G601" t="str">
            <v>R8P6N4L2J0H</v>
          </cell>
        </row>
        <row r="602">
          <cell r="A602">
            <v>852963</v>
          </cell>
          <cell r="G602" t="str">
            <v>4L2J0HYFWDUBS9</v>
          </cell>
        </row>
        <row r="603">
          <cell r="A603">
            <v>963074</v>
          </cell>
          <cell r="G603" t="str">
            <v>HYFWDUBS9Q7</v>
          </cell>
        </row>
        <row r="604">
          <cell r="A604">
            <v>174185</v>
          </cell>
          <cell r="G604" t="str">
            <v>UBS9Q7</v>
          </cell>
        </row>
        <row r="605">
          <cell r="A605">
            <v>185296</v>
          </cell>
          <cell r="G605" t="str">
            <v>7O5M3K</v>
          </cell>
        </row>
        <row r="606">
          <cell r="A606">
            <v>296307</v>
          </cell>
          <cell r="G606" t="str">
            <v>K1IZGX</v>
          </cell>
        </row>
        <row r="607">
          <cell r="A607">
            <v>307418</v>
          </cell>
          <cell r="G607" t="str">
            <v>XEVCTA</v>
          </cell>
        </row>
        <row r="608">
          <cell r="A608">
            <v>418529</v>
          </cell>
          <cell r="G608" t="str">
            <v>AR8P6N4</v>
          </cell>
        </row>
        <row r="609">
          <cell r="A609">
            <v>5296</v>
          </cell>
          <cell r="G609" t="str">
            <v>N4L2</v>
          </cell>
        </row>
        <row r="610">
          <cell r="A610">
            <v>6307</v>
          </cell>
          <cell r="G610" t="str">
            <v>0HYFWDUBS</v>
          </cell>
        </row>
        <row r="611">
          <cell r="A611">
            <v>7418</v>
          </cell>
          <cell r="G611" t="str">
            <v>DUBS9Q7O</v>
          </cell>
        </row>
        <row r="612">
          <cell r="A612">
            <v>8529</v>
          </cell>
          <cell r="G612" t="str">
            <v>Q7O5M3K1</v>
          </cell>
        </row>
        <row r="613">
          <cell r="A613">
            <v>9630</v>
          </cell>
          <cell r="G613" t="str">
            <v>3K1I</v>
          </cell>
        </row>
        <row r="614">
          <cell r="A614">
            <v>1741</v>
          </cell>
          <cell r="G614" t="str">
            <v>GXEVCTAR8</v>
          </cell>
        </row>
        <row r="615">
          <cell r="A615">
            <v>1852</v>
          </cell>
          <cell r="G615" t="str">
            <v>TAR8</v>
          </cell>
        </row>
        <row r="616">
          <cell r="A616">
            <v>2963</v>
          </cell>
          <cell r="G616" t="str">
            <v>6N4L2J0HY</v>
          </cell>
        </row>
        <row r="617">
          <cell r="A617">
            <v>3074</v>
          </cell>
          <cell r="G617" t="str">
            <v>J0HY</v>
          </cell>
        </row>
        <row r="618">
          <cell r="A618">
            <v>4185</v>
          </cell>
          <cell r="G618" t="str">
            <v>WDUBS9Q7O</v>
          </cell>
        </row>
        <row r="619">
          <cell r="A619">
            <v>5296</v>
          </cell>
          <cell r="G619" t="str">
            <v>9Q7O</v>
          </cell>
        </row>
        <row r="620">
          <cell r="A620">
            <v>6307</v>
          </cell>
          <cell r="G620" t="str">
            <v>M3K1IZGXE</v>
          </cell>
        </row>
        <row r="621">
          <cell r="A621">
            <v>7418</v>
          </cell>
          <cell r="G621" t="str">
            <v>ZGXEVCTA</v>
          </cell>
        </row>
        <row r="622">
          <cell r="A622">
            <v>8529</v>
          </cell>
          <cell r="G622" t="str">
            <v>CTAR8P6N4</v>
          </cell>
        </row>
        <row r="623">
          <cell r="A623">
            <v>9630</v>
          </cell>
          <cell r="G623" t="str">
            <v>P6N4</v>
          </cell>
        </row>
        <row r="624">
          <cell r="A624">
            <v>1741</v>
          </cell>
          <cell r="G624" t="str">
            <v>2J0HYFWDU</v>
          </cell>
        </row>
        <row r="625">
          <cell r="A625">
            <v>185296</v>
          </cell>
          <cell r="G625" t="str">
            <v>FWDUBS</v>
          </cell>
        </row>
        <row r="626">
          <cell r="A626">
            <v>296307</v>
          </cell>
          <cell r="G626" t="str">
            <v>S9Q7</v>
          </cell>
        </row>
        <row r="627">
          <cell r="A627">
            <v>3074</v>
          </cell>
          <cell r="G627" t="str">
            <v>5M3K1IZGX</v>
          </cell>
        </row>
        <row r="628">
          <cell r="A628">
            <v>4185</v>
          </cell>
          <cell r="G628" t="str">
            <v>IZGXEVCTAR</v>
          </cell>
        </row>
        <row r="629">
          <cell r="A629">
            <v>529630</v>
          </cell>
          <cell r="G629" t="str">
            <v>VCTAR8P6</v>
          </cell>
        </row>
        <row r="630">
          <cell r="A630">
            <v>63074</v>
          </cell>
          <cell r="G630" t="str">
            <v>8P6N4L2J0</v>
          </cell>
        </row>
        <row r="631">
          <cell r="A631">
            <v>74185</v>
          </cell>
          <cell r="G631" t="str">
            <v>L2J0HYFWD</v>
          </cell>
        </row>
        <row r="632">
          <cell r="A632">
            <v>8529</v>
          </cell>
          <cell r="G632" t="str">
            <v>YFWDU</v>
          </cell>
        </row>
        <row r="633">
          <cell r="A633">
            <v>9630</v>
          </cell>
          <cell r="G633" t="str">
            <v>BS9Q7</v>
          </cell>
        </row>
        <row r="634">
          <cell r="A634">
            <v>1741</v>
          </cell>
          <cell r="G634" t="str">
            <v>O5M3K</v>
          </cell>
        </row>
        <row r="635">
          <cell r="A635">
            <v>185296</v>
          </cell>
          <cell r="G635" t="str">
            <v>1IZGXEVCTA</v>
          </cell>
        </row>
        <row r="636">
          <cell r="A636">
            <v>296307</v>
          </cell>
          <cell r="G636" t="str">
            <v>EVCTAR8P6N4L2</v>
          </cell>
        </row>
        <row r="637">
          <cell r="A637">
            <v>307418</v>
          </cell>
          <cell r="G637" t="str">
            <v>R8P6N4L2J0HY</v>
          </cell>
        </row>
        <row r="638">
          <cell r="A638">
            <v>4185</v>
          </cell>
          <cell r="G638" t="str">
            <v>4L2J0</v>
          </cell>
        </row>
        <row r="639">
          <cell r="A639">
            <v>5296</v>
          </cell>
          <cell r="G639" t="str">
            <v>HYFWD</v>
          </cell>
        </row>
        <row r="640">
          <cell r="A640">
            <v>630741</v>
          </cell>
          <cell r="G640" t="str">
            <v>UBS9Q7O5</v>
          </cell>
        </row>
        <row r="641">
          <cell r="A641">
            <v>741852</v>
          </cell>
          <cell r="G641" t="str">
            <v>7O5M3K1IZ</v>
          </cell>
        </row>
        <row r="642">
          <cell r="A642">
            <v>852963</v>
          </cell>
          <cell r="G642" t="str">
            <v>K1IZGXEVC</v>
          </cell>
        </row>
        <row r="643">
          <cell r="A643">
            <v>963074</v>
          </cell>
          <cell r="G643" t="str">
            <v>XEVCTAR8P6</v>
          </cell>
        </row>
        <row r="644">
          <cell r="A644">
            <v>174185</v>
          </cell>
          <cell r="G644" t="str">
            <v>AR8P6N4L2</v>
          </cell>
        </row>
        <row r="645">
          <cell r="A645">
            <v>185296</v>
          </cell>
          <cell r="G645" t="str">
            <v>N4L2J0HYFW</v>
          </cell>
        </row>
        <row r="646">
          <cell r="A646">
            <v>296307</v>
          </cell>
          <cell r="G646" t="str">
            <v>0HYFWDUBS9</v>
          </cell>
        </row>
        <row r="647">
          <cell r="A647">
            <v>3074</v>
          </cell>
          <cell r="G647" t="str">
            <v>DUBS9</v>
          </cell>
        </row>
        <row r="648">
          <cell r="A648">
            <v>4185</v>
          </cell>
          <cell r="G648" t="str">
            <v>Q7O5M</v>
          </cell>
        </row>
        <row r="649">
          <cell r="A649">
            <v>5296</v>
          </cell>
          <cell r="G649" t="str">
            <v>3K1IZ</v>
          </cell>
        </row>
        <row r="650">
          <cell r="A650">
            <v>6307</v>
          </cell>
          <cell r="G650" t="str">
            <v>GXEVC</v>
          </cell>
        </row>
        <row r="651">
          <cell r="A651">
            <v>7418</v>
          </cell>
          <cell r="G651" t="str">
            <v>TAR8P6</v>
          </cell>
        </row>
        <row r="652">
          <cell r="A652">
            <v>852963</v>
          </cell>
          <cell r="G652" t="str">
            <v>6N4L2J0HY</v>
          </cell>
        </row>
        <row r="653">
          <cell r="A653">
            <v>963074</v>
          </cell>
          <cell r="G653" t="str">
            <v>J0HYFWDUBS</v>
          </cell>
        </row>
        <row r="654">
          <cell r="A654">
            <v>174185</v>
          </cell>
          <cell r="G654" t="str">
            <v>WDUBS9Q7O5</v>
          </cell>
        </row>
        <row r="655">
          <cell r="A655">
            <v>185296</v>
          </cell>
          <cell r="G655" t="str">
            <v>9Q7O5M3K1I</v>
          </cell>
        </row>
        <row r="656">
          <cell r="A656">
            <v>296307</v>
          </cell>
          <cell r="G656" t="str">
            <v>M3K1IZGXE</v>
          </cell>
        </row>
        <row r="657">
          <cell r="A657">
            <v>307418</v>
          </cell>
          <cell r="G657" t="str">
            <v>ZGXEVCTAR</v>
          </cell>
        </row>
        <row r="658">
          <cell r="A658">
            <v>418529</v>
          </cell>
          <cell r="G658" t="str">
            <v>CTAR8P6N</v>
          </cell>
        </row>
        <row r="659">
          <cell r="A659">
            <v>529630</v>
          </cell>
          <cell r="G659" t="str">
            <v>P6N4L2J0HYFW</v>
          </cell>
        </row>
        <row r="660">
          <cell r="A660">
            <v>630741</v>
          </cell>
          <cell r="G660" t="str">
            <v>2J0HYFW</v>
          </cell>
        </row>
        <row r="661">
          <cell r="A661">
            <v>7418</v>
          </cell>
          <cell r="G661" t="str">
            <v>FWDUBS</v>
          </cell>
        </row>
        <row r="662">
          <cell r="A662">
            <v>8529</v>
          </cell>
          <cell r="G662" t="str">
            <v>S9Q7O5</v>
          </cell>
        </row>
        <row r="663">
          <cell r="A663">
            <v>9630</v>
          </cell>
          <cell r="G663" t="str">
            <v>5M3K1I</v>
          </cell>
        </row>
        <row r="664">
          <cell r="A664">
            <v>174185</v>
          </cell>
          <cell r="G664" t="str">
            <v>IZGXEVCTAR</v>
          </cell>
        </row>
        <row r="665">
          <cell r="A665">
            <v>185296</v>
          </cell>
          <cell r="G665" t="str">
            <v>VCTAR8P6N4L2J</v>
          </cell>
        </row>
        <row r="666">
          <cell r="A666">
            <v>296307</v>
          </cell>
          <cell r="G666" t="str">
            <v>8P6N4L2J0HYF</v>
          </cell>
        </row>
        <row r="667">
          <cell r="A667">
            <v>3074</v>
          </cell>
          <cell r="G667" t="str">
            <v>L2J0HY</v>
          </cell>
        </row>
        <row r="668">
          <cell r="A668">
            <v>4185</v>
          </cell>
          <cell r="G668" t="str">
            <v>YFWDUB</v>
          </cell>
        </row>
        <row r="669">
          <cell r="A669">
            <v>5296</v>
          </cell>
          <cell r="G669" t="str">
            <v>BS9Q7O</v>
          </cell>
        </row>
        <row r="670">
          <cell r="A670">
            <v>6307</v>
          </cell>
          <cell r="G670" t="str">
            <v>O5M3K1</v>
          </cell>
        </row>
        <row r="671">
          <cell r="A671">
            <v>7418</v>
          </cell>
          <cell r="G671" t="str">
            <v>1IZGXE</v>
          </cell>
        </row>
        <row r="672">
          <cell r="A672">
            <v>8529</v>
          </cell>
          <cell r="G672" t="str">
            <v>EVCTAR</v>
          </cell>
        </row>
        <row r="673">
          <cell r="A673">
            <v>9630</v>
          </cell>
          <cell r="G673" t="str">
            <v>R8P6N4</v>
          </cell>
        </row>
        <row r="674">
          <cell r="A674">
            <v>174185</v>
          </cell>
          <cell r="G674" t="str">
            <v>4L2J0HYFWD</v>
          </cell>
        </row>
        <row r="675">
          <cell r="A675">
            <v>185296</v>
          </cell>
          <cell r="G675" t="str">
            <v>HYFWDUBS9Q7O5</v>
          </cell>
        </row>
        <row r="676">
          <cell r="A676">
            <v>296307</v>
          </cell>
          <cell r="G676" t="str">
            <v>UBS9Q7O5M3K1</v>
          </cell>
        </row>
        <row r="677">
          <cell r="A677">
            <v>307418</v>
          </cell>
          <cell r="G677" t="str">
            <v>7O5M3K</v>
          </cell>
        </row>
        <row r="678">
          <cell r="A678">
            <v>418529</v>
          </cell>
          <cell r="G678" t="str">
            <v>K1IZGX</v>
          </cell>
        </row>
        <row r="679">
          <cell r="A679">
            <v>529630</v>
          </cell>
          <cell r="G679" t="str">
            <v>XEVCTA</v>
          </cell>
        </row>
        <row r="680">
          <cell r="A680">
            <v>630741</v>
          </cell>
          <cell r="G680" t="str">
            <v>AR8P6N</v>
          </cell>
        </row>
        <row r="681">
          <cell r="A681">
            <v>741852</v>
          </cell>
          <cell r="G681" t="str">
            <v>N4L2J0</v>
          </cell>
        </row>
        <row r="682">
          <cell r="A682">
            <v>852963</v>
          </cell>
          <cell r="G682" t="str">
            <v>0HYFWD</v>
          </cell>
        </row>
        <row r="683">
          <cell r="A683">
            <v>963074</v>
          </cell>
          <cell r="G683" t="str">
            <v>DUBS9Q</v>
          </cell>
        </row>
        <row r="684">
          <cell r="A684">
            <v>174185</v>
          </cell>
          <cell r="G684" t="str">
            <v>Q7O5M3</v>
          </cell>
        </row>
        <row r="685">
          <cell r="A685">
            <v>185296</v>
          </cell>
          <cell r="G685" t="str">
            <v>3K1IZGXEVC</v>
          </cell>
        </row>
        <row r="686">
          <cell r="A686">
            <v>296307</v>
          </cell>
          <cell r="G686" t="str">
            <v>GXEVCTAR8P6N4</v>
          </cell>
        </row>
        <row r="687">
          <cell r="A687">
            <v>307418</v>
          </cell>
          <cell r="G687" t="str">
            <v>TAR8P6N4L2J0</v>
          </cell>
        </row>
        <row r="688">
          <cell r="A688">
            <v>418529</v>
          </cell>
          <cell r="G688" t="str">
            <v>6N4L2J</v>
          </cell>
        </row>
        <row r="689">
          <cell r="A689">
            <v>529630</v>
          </cell>
          <cell r="G689" t="str">
            <v>J0HYFW</v>
          </cell>
        </row>
        <row r="690">
          <cell r="A690">
            <v>630741</v>
          </cell>
          <cell r="G690" t="str">
            <v>WDUBS9</v>
          </cell>
        </row>
        <row r="691">
          <cell r="A691">
            <v>741852</v>
          </cell>
          <cell r="G691" t="str">
            <v>9Q7O5M</v>
          </cell>
        </row>
        <row r="692">
          <cell r="A692">
            <v>852963</v>
          </cell>
          <cell r="G692" t="str">
            <v>M3K1IZ</v>
          </cell>
        </row>
        <row r="693">
          <cell r="A693">
            <v>963074</v>
          </cell>
          <cell r="G693" t="str">
            <v>ZGXEVC</v>
          </cell>
        </row>
        <row r="694">
          <cell r="A694">
            <v>174185</v>
          </cell>
          <cell r="G694" t="str">
            <v>CTAR8P</v>
          </cell>
        </row>
        <row r="695">
          <cell r="A695">
            <v>185296</v>
          </cell>
          <cell r="G695" t="str">
            <v>P6N4L2</v>
          </cell>
        </row>
        <row r="696">
          <cell r="A696">
            <v>296307</v>
          </cell>
          <cell r="G696" t="str">
            <v>2J0HYFWDUBS</v>
          </cell>
        </row>
        <row r="697">
          <cell r="A697">
            <v>307418</v>
          </cell>
          <cell r="G697" t="str">
            <v>FWDUBS9Q7O5M3K</v>
          </cell>
        </row>
        <row r="698">
          <cell r="A698">
            <v>418529</v>
          </cell>
          <cell r="G698" t="str">
            <v>S9Q7O5M3K1IZG</v>
          </cell>
        </row>
        <row r="699">
          <cell r="A699">
            <v>529630</v>
          </cell>
          <cell r="G699" t="str">
            <v>5M3K1I</v>
          </cell>
        </row>
        <row r="700">
          <cell r="A700">
            <v>630741</v>
          </cell>
          <cell r="G700" t="str">
            <v>IZGXEV</v>
          </cell>
        </row>
        <row r="701">
          <cell r="A701">
            <v>741852</v>
          </cell>
          <cell r="G701" t="str">
            <v>VCTAR8</v>
          </cell>
        </row>
        <row r="702">
          <cell r="A702">
            <v>852963</v>
          </cell>
          <cell r="G702" t="str">
            <v>8P6N4L</v>
          </cell>
        </row>
        <row r="703">
          <cell r="A703">
            <v>963074</v>
          </cell>
          <cell r="G703" t="str">
            <v>L2J0HYF</v>
          </cell>
        </row>
        <row r="704">
          <cell r="A704">
            <v>1741</v>
          </cell>
          <cell r="G704" t="str">
            <v>YFWD</v>
          </cell>
        </row>
        <row r="705">
          <cell r="A705">
            <v>1852</v>
          </cell>
          <cell r="G705" t="str">
            <v>BS9Q7O5M3</v>
          </cell>
        </row>
        <row r="706">
          <cell r="A706">
            <v>2963</v>
          </cell>
          <cell r="G706" t="str">
            <v>O5M3K1IZ</v>
          </cell>
        </row>
        <row r="707">
          <cell r="A707">
            <v>3074</v>
          </cell>
          <cell r="G707" t="str">
            <v>1IZGXEV</v>
          </cell>
        </row>
        <row r="708">
          <cell r="A708">
            <v>4185</v>
          </cell>
          <cell r="G708" t="str">
            <v>EVCT</v>
          </cell>
        </row>
        <row r="709">
          <cell r="A709">
            <v>5296</v>
          </cell>
          <cell r="G709" t="str">
            <v>R8P6N4L2J</v>
          </cell>
        </row>
        <row r="710">
          <cell r="A710">
            <v>6307</v>
          </cell>
          <cell r="G710" t="str">
            <v>4L2J</v>
          </cell>
        </row>
        <row r="711">
          <cell r="A711">
            <v>7418</v>
          </cell>
          <cell r="G711" t="str">
            <v>HYFWDUBS9</v>
          </cell>
        </row>
        <row r="712">
          <cell r="A712">
            <v>8529</v>
          </cell>
          <cell r="G712" t="str">
            <v>UBS9</v>
          </cell>
        </row>
        <row r="713">
          <cell r="A713">
            <v>9630</v>
          </cell>
          <cell r="G713" t="str">
            <v>7O5M3K1IZ</v>
          </cell>
        </row>
        <row r="714">
          <cell r="A714">
            <v>1741</v>
          </cell>
          <cell r="G714" t="str">
            <v>K1IZGXEV</v>
          </cell>
        </row>
        <row r="715">
          <cell r="A715">
            <v>1852</v>
          </cell>
          <cell r="G715" t="str">
            <v>XEVCTAR</v>
          </cell>
        </row>
        <row r="716">
          <cell r="A716">
            <v>2963</v>
          </cell>
          <cell r="G716" t="str">
            <v>AR8P</v>
          </cell>
        </row>
        <row r="717">
          <cell r="A717">
            <v>3074</v>
          </cell>
          <cell r="G717" t="str">
            <v>N4L2J0HYF</v>
          </cell>
        </row>
        <row r="718">
          <cell r="A718">
            <v>4185</v>
          </cell>
          <cell r="G718" t="str">
            <v>0HYF</v>
          </cell>
        </row>
        <row r="719">
          <cell r="A719">
            <v>5296</v>
          </cell>
          <cell r="G719" t="str">
            <v>DUBS9Q7O5M</v>
          </cell>
        </row>
        <row r="720">
          <cell r="A720">
            <v>6307</v>
          </cell>
          <cell r="G720" t="str">
            <v>Q7O5</v>
          </cell>
        </row>
        <row r="721">
          <cell r="A721">
            <v>7418</v>
          </cell>
          <cell r="G721" t="str">
            <v>3K1IZGXEV</v>
          </cell>
        </row>
        <row r="722">
          <cell r="A722">
            <v>8529</v>
          </cell>
          <cell r="G722" t="str">
            <v>GXEV</v>
          </cell>
        </row>
        <row r="723">
          <cell r="A723">
            <v>9630</v>
          </cell>
          <cell r="G723" t="str">
            <v>TAR8P6N4L</v>
          </cell>
        </row>
        <row r="724">
          <cell r="A724">
            <v>1741</v>
          </cell>
          <cell r="G724" t="str">
            <v>6N4L</v>
          </cell>
        </row>
        <row r="725">
          <cell r="A725">
            <v>1852</v>
          </cell>
          <cell r="G725" t="str">
            <v>J0HYFWDUB</v>
          </cell>
        </row>
        <row r="726">
          <cell r="A726">
            <v>2963</v>
          </cell>
          <cell r="G726" t="str">
            <v>WDUB</v>
          </cell>
        </row>
        <row r="727">
          <cell r="A727">
            <v>3074</v>
          </cell>
          <cell r="G727" t="str">
            <v>9Q7O5M</v>
          </cell>
        </row>
        <row r="728">
          <cell r="A728">
            <v>4185</v>
          </cell>
          <cell r="G728" t="str">
            <v>M3K1</v>
          </cell>
        </row>
        <row r="729">
          <cell r="A729">
            <v>5296</v>
          </cell>
          <cell r="G729" t="str">
            <v>ZGXEVCTA</v>
          </cell>
        </row>
        <row r="730">
          <cell r="A730">
            <v>6307</v>
          </cell>
          <cell r="G730" t="str">
            <v>CTAR8P6N4</v>
          </cell>
        </row>
        <row r="731">
          <cell r="A731">
            <v>7418</v>
          </cell>
          <cell r="G731" t="str">
            <v>P6N4L2J</v>
          </cell>
        </row>
        <row r="732">
          <cell r="A732">
            <v>8529</v>
          </cell>
          <cell r="G732" t="str">
            <v>2J0HYF</v>
          </cell>
        </row>
        <row r="733">
          <cell r="A733">
            <v>9630</v>
          </cell>
          <cell r="G733" t="str">
            <v>FWDUBS</v>
          </cell>
        </row>
        <row r="734">
          <cell r="A734">
            <v>1741</v>
          </cell>
          <cell r="G734" t="str">
            <v>S9Q7O5</v>
          </cell>
        </row>
        <row r="735">
          <cell r="A735">
            <v>1852</v>
          </cell>
          <cell r="G735" t="str">
            <v>5M3K1IZGX</v>
          </cell>
        </row>
        <row r="736">
          <cell r="A736">
            <v>2963</v>
          </cell>
          <cell r="G736" t="str">
            <v>IZGXEVCTAR8P</v>
          </cell>
        </row>
        <row r="737">
          <cell r="A737">
            <v>3074</v>
          </cell>
          <cell r="G737" t="str">
            <v>VCTAR8P6N4L</v>
          </cell>
        </row>
        <row r="738">
          <cell r="A738">
            <v>4185</v>
          </cell>
          <cell r="G738" t="str">
            <v>8P6N4L</v>
          </cell>
        </row>
        <row r="739">
          <cell r="A739">
            <v>5296</v>
          </cell>
          <cell r="G739" t="str">
            <v>L2J0HY</v>
          </cell>
        </row>
        <row r="740">
          <cell r="A740">
            <v>6307</v>
          </cell>
          <cell r="G740" t="str">
            <v>YFWDUBS</v>
          </cell>
        </row>
        <row r="741">
          <cell r="A741">
            <v>7418</v>
          </cell>
          <cell r="G741" t="str">
            <v>BS9Q7O5M</v>
          </cell>
        </row>
        <row r="742">
          <cell r="A742">
            <v>8529</v>
          </cell>
          <cell r="G742" t="str">
            <v>O5M3K1IZ</v>
          </cell>
        </row>
        <row r="743">
          <cell r="A743">
            <v>9630</v>
          </cell>
          <cell r="G743" t="str">
            <v>1IZGXEVCT</v>
          </cell>
        </row>
        <row r="744">
          <cell r="A744">
            <v>1741</v>
          </cell>
          <cell r="G744" t="str">
            <v>EVCTAR8P</v>
          </cell>
        </row>
        <row r="745">
          <cell r="A745">
            <v>1852</v>
          </cell>
          <cell r="G745" t="str">
            <v>R8P6N4L2J</v>
          </cell>
        </row>
        <row r="746">
          <cell r="A746">
            <v>296307</v>
          </cell>
          <cell r="G746" t="str">
            <v>4L2J0HYFWD</v>
          </cell>
        </row>
        <row r="747">
          <cell r="A747">
            <v>3074</v>
          </cell>
          <cell r="G747" t="str">
            <v>HYFWDU</v>
          </cell>
        </row>
        <row r="748">
          <cell r="A748">
            <v>4185</v>
          </cell>
          <cell r="G748" t="str">
            <v>UBS9Q7</v>
          </cell>
        </row>
        <row r="749">
          <cell r="A749">
            <v>5296</v>
          </cell>
          <cell r="G749" t="str">
            <v>7O5M3K</v>
          </cell>
        </row>
        <row r="750">
          <cell r="A750">
            <v>6307</v>
          </cell>
          <cell r="G750" t="str">
            <v>K1IZGX</v>
          </cell>
        </row>
        <row r="751">
          <cell r="A751">
            <v>7418</v>
          </cell>
          <cell r="G751" t="str">
            <v>XEVCTAR</v>
          </cell>
        </row>
        <row r="752">
          <cell r="A752">
            <v>8529</v>
          </cell>
          <cell r="G752" t="str">
            <v>AR8P6N4L</v>
          </cell>
        </row>
        <row r="753">
          <cell r="A753">
            <v>9630</v>
          </cell>
          <cell r="G753" t="str">
            <v>N4L2J0HYF</v>
          </cell>
        </row>
        <row r="754">
          <cell r="A754">
            <v>1741</v>
          </cell>
          <cell r="G754" t="str">
            <v>0HYFWDUBS</v>
          </cell>
        </row>
        <row r="755">
          <cell r="A755">
            <v>1852</v>
          </cell>
          <cell r="G755" t="str">
            <v>DUBS9Q7O5</v>
          </cell>
        </row>
        <row r="756">
          <cell r="A756">
            <v>2963</v>
          </cell>
          <cell r="G756" t="str">
            <v>Q7O5M3K1</v>
          </cell>
        </row>
        <row r="757">
          <cell r="A757">
            <v>3074</v>
          </cell>
          <cell r="G757" t="str">
            <v>3K1IZGXE</v>
          </cell>
        </row>
        <row r="758">
          <cell r="A758">
            <v>4185</v>
          </cell>
          <cell r="G758" t="str">
            <v>GXEVCTA</v>
          </cell>
        </row>
        <row r="759">
          <cell r="A759">
            <v>529630</v>
          </cell>
          <cell r="G759" t="str">
            <v>TAR8P6N4L2J0</v>
          </cell>
        </row>
        <row r="760">
          <cell r="A760">
            <v>630741</v>
          </cell>
          <cell r="G760" t="str">
            <v>6N4L2J0</v>
          </cell>
        </row>
        <row r="761">
          <cell r="A761">
            <v>7418</v>
          </cell>
          <cell r="G761" t="str">
            <v>J0HYFWD</v>
          </cell>
        </row>
        <row r="762">
          <cell r="A762">
            <v>8529</v>
          </cell>
          <cell r="G762" t="str">
            <v>WDUBS9Q</v>
          </cell>
        </row>
        <row r="763">
          <cell r="A763">
            <v>9630</v>
          </cell>
          <cell r="G763" t="str">
            <v>9Q7O5M3</v>
          </cell>
        </row>
        <row r="764">
          <cell r="A764">
            <v>1741</v>
          </cell>
          <cell r="G764" t="str">
            <v>M3K1IZGXE</v>
          </cell>
        </row>
        <row r="765">
          <cell r="A765">
            <v>1852</v>
          </cell>
          <cell r="G765" t="str">
            <v>ZGXEVCTAR8P6</v>
          </cell>
        </row>
        <row r="766">
          <cell r="A766">
            <v>2963</v>
          </cell>
          <cell r="G766" t="str">
            <v>CTAR8P6N4L2</v>
          </cell>
        </row>
        <row r="767">
          <cell r="A767">
            <v>3074</v>
          </cell>
          <cell r="G767" t="str">
            <v>P6N4L2J</v>
          </cell>
        </row>
        <row r="768">
          <cell r="A768">
            <v>4185</v>
          </cell>
          <cell r="G768" t="str">
            <v>2J0HYFW</v>
          </cell>
        </row>
        <row r="769">
          <cell r="A769">
            <v>5296</v>
          </cell>
          <cell r="G769" t="str">
            <v>FWDUBS9</v>
          </cell>
        </row>
        <row r="770">
          <cell r="A770">
            <v>6307</v>
          </cell>
          <cell r="G770" t="str">
            <v>S9Q7O5M</v>
          </cell>
        </row>
        <row r="771">
          <cell r="A771">
            <v>7418</v>
          </cell>
          <cell r="G771" t="str">
            <v>5M3K1IZ</v>
          </cell>
        </row>
        <row r="772">
          <cell r="A772">
            <v>8529</v>
          </cell>
          <cell r="G772" t="str">
            <v>IZGXEVC</v>
          </cell>
        </row>
        <row r="773">
          <cell r="A773">
            <v>9630</v>
          </cell>
          <cell r="G773" t="str">
            <v>VCTAR8P</v>
          </cell>
        </row>
        <row r="774">
          <cell r="A774">
            <v>1741</v>
          </cell>
          <cell r="G774" t="str">
            <v>8P6N4L2J0</v>
          </cell>
        </row>
        <row r="775">
          <cell r="A775">
            <v>1852</v>
          </cell>
          <cell r="G775" t="str">
            <v>L2J0HYFWDUBS</v>
          </cell>
        </row>
        <row r="776">
          <cell r="A776">
            <v>2963</v>
          </cell>
          <cell r="G776" t="str">
            <v>YFWDUBS9Q7O</v>
          </cell>
        </row>
        <row r="777">
          <cell r="A777">
            <v>3074</v>
          </cell>
          <cell r="G777" t="str">
            <v>BS9Q7O5</v>
          </cell>
        </row>
        <row r="778">
          <cell r="A778">
            <v>4185</v>
          </cell>
          <cell r="G778" t="str">
            <v>O5M3K1I</v>
          </cell>
        </row>
        <row r="779">
          <cell r="A779">
            <v>5296</v>
          </cell>
          <cell r="G779" t="str">
            <v>1IZGXEV</v>
          </cell>
        </row>
        <row r="780">
          <cell r="A780">
            <v>6307</v>
          </cell>
          <cell r="G780" t="str">
            <v>EVCTAR8</v>
          </cell>
        </row>
        <row r="781">
          <cell r="A781">
            <v>7418</v>
          </cell>
          <cell r="G781" t="str">
            <v>R8P6N4L</v>
          </cell>
        </row>
        <row r="782">
          <cell r="A782">
            <v>8529</v>
          </cell>
          <cell r="G782" t="str">
            <v>4L2J0HY</v>
          </cell>
        </row>
        <row r="783">
          <cell r="A783">
            <v>9630</v>
          </cell>
          <cell r="G783" t="str">
            <v>HYFWDUB</v>
          </cell>
        </row>
        <row r="784">
          <cell r="A784">
            <v>1741</v>
          </cell>
          <cell r="G784" t="str">
            <v>UBS9Q7O</v>
          </cell>
        </row>
        <row r="785">
          <cell r="A785">
            <v>1852</v>
          </cell>
          <cell r="G785" t="str">
            <v>7O5M3K1IZ</v>
          </cell>
        </row>
        <row r="786">
          <cell r="A786">
            <v>2963</v>
          </cell>
          <cell r="G786" t="str">
            <v>K1IZGXEVCTAR</v>
          </cell>
        </row>
        <row r="787">
          <cell r="A787">
            <v>3074</v>
          </cell>
          <cell r="G787" t="str">
            <v>XEVCTAR8P6N</v>
          </cell>
        </row>
        <row r="788">
          <cell r="A788">
            <v>4185</v>
          </cell>
          <cell r="G788" t="str">
            <v>AR8P6N4</v>
          </cell>
        </row>
        <row r="789">
          <cell r="A789">
            <v>5296</v>
          </cell>
          <cell r="G789" t="str">
            <v>N4L2J0H</v>
          </cell>
        </row>
        <row r="790">
          <cell r="A790">
            <v>6307</v>
          </cell>
          <cell r="G790" t="str">
            <v>0HYFWDU</v>
          </cell>
        </row>
        <row r="791">
          <cell r="A791">
            <v>7418</v>
          </cell>
          <cell r="G791" t="str">
            <v>DUBS9Q7</v>
          </cell>
        </row>
        <row r="792">
          <cell r="A792">
            <v>8529</v>
          </cell>
          <cell r="G792" t="str">
            <v>Q7O5M3K</v>
          </cell>
        </row>
        <row r="793">
          <cell r="A793">
            <v>9630</v>
          </cell>
          <cell r="G793" t="str">
            <v>3K1IZGX</v>
          </cell>
        </row>
        <row r="794">
          <cell r="A794">
            <v>1741</v>
          </cell>
          <cell r="G794" t="str">
            <v>GXEVCTA</v>
          </cell>
        </row>
        <row r="795">
          <cell r="A795">
            <v>1852</v>
          </cell>
          <cell r="G795" t="str">
            <v>TAR8P6N</v>
          </cell>
        </row>
        <row r="796">
          <cell r="A796">
            <v>2963</v>
          </cell>
          <cell r="G796" t="str">
            <v>6N4L2J0HYF</v>
          </cell>
        </row>
        <row r="797">
          <cell r="A797">
            <v>3074</v>
          </cell>
          <cell r="G797" t="str">
            <v>J0HYFWDUBS9Q7</v>
          </cell>
        </row>
        <row r="798">
          <cell r="A798">
            <v>4185</v>
          </cell>
          <cell r="G798" t="str">
            <v>WDUBS9Q7O5M3</v>
          </cell>
        </row>
        <row r="799">
          <cell r="A799">
            <v>5296</v>
          </cell>
          <cell r="G799" t="str">
            <v>9Q7O5M3</v>
          </cell>
        </row>
        <row r="800">
          <cell r="A800">
            <v>6307</v>
          </cell>
          <cell r="G800" t="str">
            <v>M3K1IZG</v>
          </cell>
        </row>
        <row r="801">
          <cell r="A801">
            <v>7418</v>
          </cell>
          <cell r="G801" t="str">
            <v>ZGXEVCT</v>
          </cell>
        </row>
        <row r="802">
          <cell r="A802">
            <v>8529</v>
          </cell>
          <cell r="G802" t="str">
            <v>CTAR8P6</v>
          </cell>
        </row>
        <row r="803">
          <cell r="A803">
            <v>963074</v>
          </cell>
          <cell r="G803" t="str">
            <v>P6N4L2J</v>
          </cell>
        </row>
        <row r="804">
          <cell r="A804">
            <v>1741</v>
          </cell>
          <cell r="G804" t="str">
            <v>2J0H</v>
          </cell>
        </row>
        <row r="805">
          <cell r="A805">
            <v>1852</v>
          </cell>
          <cell r="G805" t="str">
            <v>FWDUBS9Q7</v>
          </cell>
        </row>
        <row r="806">
          <cell r="A806">
            <v>2963</v>
          </cell>
          <cell r="G806" t="str">
            <v>S9Q7O5M3</v>
          </cell>
        </row>
        <row r="807">
          <cell r="A807">
            <v>3074</v>
          </cell>
          <cell r="G807" t="str">
            <v>5M3K1IZGX</v>
          </cell>
        </row>
        <row r="808">
          <cell r="A808">
            <v>4185</v>
          </cell>
          <cell r="G808" t="str">
            <v>IZGX</v>
          </cell>
        </row>
        <row r="809">
          <cell r="A809">
            <v>5296</v>
          </cell>
          <cell r="G809" t="str">
            <v>VCTAR8P6N</v>
          </cell>
        </row>
        <row r="810">
          <cell r="A810">
            <v>6307</v>
          </cell>
          <cell r="G810" t="str">
            <v>8P6N</v>
          </cell>
        </row>
        <row r="811">
          <cell r="A811">
            <v>7418</v>
          </cell>
          <cell r="G811" t="str">
            <v>L2J0HYFWD</v>
          </cell>
        </row>
        <row r="812">
          <cell r="A812">
            <v>8529</v>
          </cell>
          <cell r="G812" t="str">
            <v>YFWD</v>
          </cell>
        </row>
        <row r="813">
          <cell r="A813">
            <v>9630</v>
          </cell>
          <cell r="G813" t="str">
            <v>BS9Q7O5M3</v>
          </cell>
        </row>
        <row r="814">
          <cell r="A814">
            <v>1741</v>
          </cell>
          <cell r="G814" t="str">
            <v>O5M3K1IZ</v>
          </cell>
        </row>
        <row r="815">
          <cell r="A815">
            <v>1852</v>
          </cell>
          <cell r="G815" t="str">
            <v>1IZGXEVCT</v>
          </cell>
        </row>
        <row r="816">
          <cell r="A816">
            <v>2963</v>
          </cell>
          <cell r="G816" t="str">
            <v>EVCT</v>
          </cell>
        </row>
        <row r="817">
          <cell r="A817">
            <v>3074</v>
          </cell>
          <cell r="G817" t="str">
            <v>R8P6N4L2</v>
          </cell>
        </row>
        <row r="818">
          <cell r="A818">
            <v>4185</v>
          </cell>
          <cell r="G818" t="str">
            <v>4L2J</v>
          </cell>
        </row>
        <row r="819">
          <cell r="A819">
            <v>5296</v>
          </cell>
          <cell r="G819" t="str">
            <v>HYFWDUBS</v>
          </cell>
        </row>
        <row r="820">
          <cell r="A820">
            <v>6307</v>
          </cell>
          <cell r="G820" t="str">
            <v>UBS9Q7</v>
          </cell>
        </row>
        <row r="821">
          <cell r="A821">
            <v>7418</v>
          </cell>
          <cell r="G821" t="str">
            <v>7O5M</v>
          </cell>
        </row>
        <row r="822">
          <cell r="A822">
            <v>8529</v>
          </cell>
          <cell r="G822" t="str">
            <v>K1IZGXEV</v>
          </cell>
        </row>
        <row r="823">
          <cell r="A823">
            <v>9630</v>
          </cell>
          <cell r="G823" t="str">
            <v>XEVCTAR8P</v>
          </cell>
        </row>
        <row r="824">
          <cell r="A824">
            <v>1741</v>
          </cell>
          <cell r="G824" t="str">
            <v>AR8P6N4</v>
          </cell>
        </row>
        <row r="825">
          <cell r="A825">
            <v>1852</v>
          </cell>
          <cell r="G825" t="str">
            <v>N4L2J0</v>
          </cell>
        </row>
        <row r="826">
          <cell r="A826">
            <v>2963</v>
          </cell>
          <cell r="G826" t="str">
            <v>0HYFWD</v>
          </cell>
        </row>
        <row r="827">
          <cell r="A827">
            <v>3074</v>
          </cell>
          <cell r="G827" t="str">
            <v>DUBS9Q</v>
          </cell>
        </row>
        <row r="828">
          <cell r="A828">
            <v>4185</v>
          </cell>
          <cell r="G828" t="str">
            <v>Q7O5M3K1I</v>
          </cell>
        </row>
        <row r="829">
          <cell r="A829">
            <v>5296</v>
          </cell>
          <cell r="G829" t="str">
            <v>3K1IZGXEVCTA</v>
          </cell>
        </row>
        <row r="830">
          <cell r="A830">
            <v>6307</v>
          </cell>
          <cell r="G830" t="str">
            <v>GXEVCTAR8P6</v>
          </cell>
        </row>
        <row r="831">
          <cell r="A831">
            <v>7418</v>
          </cell>
          <cell r="G831" t="str">
            <v>TAR8P6</v>
          </cell>
        </row>
        <row r="832">
          <cell r="A832">
            <v>8529</v>
          </cell>
          <cell r="G832" t="str">
            <v>6N4L2J</v>
          </cell>
        </row>
        <row r="833">
          <cell r="A833">
            <v>9630</v>
          </cell>
          <cell r="G833" t="str">
            <v>J0HYFWD</v>
          </cell>
        </row>
        <row r="834">
          <cell r="A834">
            <v>1741</v>
          </cell>
          <cell r="G834" t="str">
            <v>WDUBS9Q7</v>
          </cell>
        </row>
        <row r="835">
          <cell r="A835">
            <v>1852</v>
          </cell>
          <cell r="G835" t="str">
            <v>9Q7O5M3K</v>
          </cell>
        </row>
        <row r="836">
          <cell r="A836">
            <v>2963</v>
          </cell>
          <cell r="G836" t="str">
            <v>M3K1IZGXE</v>
          </cell>
        </row>
        <row r="837">
          <cell r="A837">
            <v>3074</v>
          </cell>
          <cell r="G837" t="str">
            <v>ZGXEVCTA</v>
          </cell>
        </row>
        <row r="838">
          <cell r="A838">
            <v>4185</v>
          </cell>
          <cell r="G838" t="str">
            <v>CTAR8P6N4</v>
          </cell>
        </row>
        <row r="839">
          <cell r="A839">
            <v>529630</v>
          </cell>
          <cell r="G839" t="str">
            <v>P6N4L2J0HY</v>
          </cell>
        </row>
        <row r="840">
          <cell r="A840">
            <v>6307</v>
          </cell>
          <cell r="G840" t="str">
            <v>2J0HYF</v>
          </cell>
        </row>
        <row r="841">
          <cell r="A841">
            <v>7418</v>
          </cell>
          <cell r="G841" t="str">
            <v>FWDUBS</v>
          </cell>
        </row>
        <row r="842">
          <cell r="A842">
            <v>8529</v>
          </cell>
          <cell r="G842" t="str">
            <v>S9Q7O5</v>
          </cell>
        </row>
        <row r="843">
          <cell r="A843">
            <v>9630</v>
          </cell>
          <cell r="G843" t="str">
            <v>5M3K1I</v>
          </cell>
        </row>
        <row r="844">
          <cell r="A844">
            <v>1741</v>
          </cell>
          <cell r="G844" t="str">
            <v>IZGXEVC</v>
          </cell>
        </row>
        <row r="845">
          <cell r="A845">
            <v>1852</v>
          </cell>
          <cell r="G845" t="str">
            <v>VCTAR8P6</v>
          </cell>
        </row>
        <row r="846">
          <cell r="A846">
            <v>2963</v>
          </cell>
          <cell r="G846" t="str">
            <v>8P6N4L2J0</v>
          </cell>
        </row>
        <row r="847">
          <cell r="A847">
            <v>3074</v>
          </cell>
          <cell r="G847" t="str">
            <v>L2J0HYFWD</v>
          </cell>
        </row>
        <row r="848">
          <cell r="A848">
            <v>4185</v>
          </cell>
          <cell r="G848" t="str">
            <v>YFWDUBS9Q</v>
          </cell>
        </row>
        <row r="849">
          <cell r="A849">
            <v>5296</v>
          </cell>
          <cell r="G849" t="str">
            <v>BS9Q7O5M</v>
          </cell>
        </row>
        <row r="850">
          <cell r="A850">
            <v>6307</v>
          </cell>
          <cell r="G850" t="str">
            <v>O5M3K1IZ</v>
          </cell>
        </row>
        <row r="851">
          <cell r="A851">
            <v>7418</v>
          </cell>
          <cell r="G851" t="str">
            <v>1IZGXEV</v>
          </cell>
        </row>
        <row r="852">
          <cell r="A852">
            <v>852963</v>
          </cell>
          <cell r="G852" t="str">
            <v>EVCTAR8P6N4L2</v>
          </cell>
        </row>
        <row r="853">
          <cell r="A853">
            <v>963074</v>
          </cell>
          <cell r="G853" t="str">
            <v>R8P6N4L</v>
          </cell>
        </row>
        <row r="854">
          <cell r="A854">
            <v>1741</v>
          </cell>
          <cell r="G854" t="str">
            <v>4L2J0HY</v>
          </cell>
        </row>
        <row r="855">
          <cell r="A855">
            <v>1852</v>
          </cell>
          <cell r="G855" t="str">
            <v>HYFWDUB</v>
          </cell>
        </row>
        <row r="856">
          <cell r="A856">
            <v>2963</v>
          </cell>
          <cell r="G856" t="str">
            <v>UBS9Q7O</v>
          </cell>
        </row>
        <row r="857">
          <cell r="A857">
            <v>3074</v>
          </cell>
          <cell r="G857" t="str">
            <v>7O5M3K1IZ</v>
          </cell>
        </row>
        <row r="858">
          <cell r="A858">
            <v>4185</v>
          </cell>
          <cell r="G858" t="str">
            <v>K1IZGXEVCTAR</v>
          </cell>
        </row>
        <row r="859">
          <cell r="A859">
            <v>5296</v>
          </cell>
          <cell r="G859" t="str">
            <v>XEVCTAR8P6N</v>
          </cell>
        </row>
        <row r="860">
          <cell r="A860">
            <v>6307</v>
          </cell>
          <cell r="G860" t="str">
            <v>AR8P6N4</v>
          </cell>
        </row>
        <row r="861">
          <cell r="A861">
            <v>7418</v>
          </cell>
          <cell r="G861" t="str">
            <v>N4L2J0H</v>
          </cell>
        </row>
        <row r="862">
          <cell r="A862">
            <v>8529</v>
          </cell>
          <cell r="G862" t="str">
            <v>0HYFWDU</v>
          </cell>
        </row>
        <row r="863">
          <cell r="A863">
            <v>9630</v>
          </cell>
          <cell r="G863" t="str">
            <v>DUBS9Q7</v>
          </cell>
        </row>
        <row r="864">
          <cell r="A864">
            <v>1741</v>
          </cell>
          <cell r="G864" t="str">
            <v>Q7O5M3K</v>
          </cell>
        </row>
        <row r="865">
          <cell r="A865">
            <v>1852</v>
          </cell>
          <cell r="G865" t="str">
            <v>3K1IZGX</v>
          </cell>
        </row>
        <row r="866">
          <cell r="A866">
            <v>2963</v>
          </cell>
          <cell r="G866" t="str">
            <v>GXEVCTA</v>
          </cell>
        </row>
        <row r="867">
          <cell r="A867">
            <v>3074</v>
          </cell>
          <cell r="G867" t="str">
            <v>TAR8P6N4L</v>
          </cell>
        </row>
        <row r="868">
          <cell r="A868">
            <v>4185</v>
          </cell>
          <cell r="G868" t="str">
            <v>6N4L2J0HYFWD</v>
          </cell>
        </row>
        <row r="869">
          <cell r="A869">
            <v>5296</v>
          </cell>
          <cell r="G869" t="str">
            <v>J0HYFWDUBS9</v>
          </cell>
        </row>
        <row r="870">
          <cell r="A870">
            <v>6307</v>
          </cell>
          <cell r="G870" t="str">
            <v>WDUBS9Q</v>
          </cell>
        </row>
        <row r="871">
          <cell r="A871">
            <v>7418</v>
          </cell>
          <cell r="G871" t="str">
            <v>9Q7O5M3</v>
          </cell>
        </row>
        <row r="872">
          <cell r="A872">
            <v>8529</v>
          </cell>
          <cell r="G872" t="str">
            <v>M3K1IZG</v>
          </cell>
        </row>
        <row r="873">
          <cell r="A873">
            <v>9630</v>
          </cell>
          <cell r="G873" t="str">
            <v>ZGXEVCT</v>
          </cell>
        </row>
        <row r="874">
          <cell r="A874">
            <v>1741</v>
          </cell>
          <cell r="G874" t="str">
            <v>CTAR8P6</v>
          </cell>
        </row>
        <row r="875">
          <cell r="A875">
            <v>1852</v>
          </cell>
          <cell r="G875" t="str">
            <v>P6N4L2J</v>
          </cell>
        </row>
        <row r="876">
          <cell r="A876">
            <v>2963</v>
          </cell>
          <cell r="G876" t="str">
            <v>2J0HYFW</v>
          </cell>
        </row>
        <row r="877">
          <cell r="A877">
            <v>3074</v>
          </cell>
          <cell r="G877" t="str">
            <v>FWDUBS9</v>
          </cell>
        </row>
        <row r="878">
          <cell r="A878">
            <v>4185</v>
          </cell>
          <cell r="G878" t="str">
            <v>S9Q7O5M3K</v>
          </cell>
        </row>
        <row r="879">
          <cell r="A879">
            <v>5296</v>
          </cell>
          <cell r="G879" t="str">
            <v>5M3K1IZGXEVC</v>
          </cell>
        </row>
        <row r="880">
          <cell r="A880">
            <v>6307</v>
          </cell>
          <cell r="G880" t="str">
            <v>IZGXEVCTAR8</v>
          </cell>
        </row>
        <row r="881">
          <cell r="A881">
            <v>7418</v>
          </cell>
          <cell r="G881" t="str">
            <v>VCTAR8P</v>
          </cell>
        </row>
        <row r="882">
          <cell r="A882">
            <v>8529</v>
          </cell>
          <cell r="G882" t="str">
            <v>8P6N4L2</v>
          </cell>
        </row>
        <row r="883">
          <cell r="A883">
            <v>9630</v>
          </cell>
          <cell r="G883" t="str">
            <v>L2J0HYF</v>
          </cell>
        </row>
        <row r="884">
          <cell r="A884">
            <v>1741</v>
          </cell>
          <cell r="G884" t="str">
            <v>YFWDUBS</v>
          </cell>
        </row>
        <row r="885">
          <cell r="A885">
            <v>1852</v>
          </cell>
          <cell r="G885" t="str">
            <v>BS9Q7O5</v>
          </cell>
        </row>
        <row r="886">
          <cell r="A886">
            <v>2963</v>
          </cell>
          <cell r="G886" t="str">
            <v>O5M3K1I</v>
          </cell>
        </row>
        <row r="887">
          <cell r="A887">
            <v>3074</v>
          </cell>
          <cell r="G887" t="str">
            <v>1IZGXEV</v>
          </cell>
        </row>
        <row r="888">
          <cell r="A888">
            <v>4185</v>
          </cell>
          <cell r="G888" t="str">
            <v>EVCTAR8</v>
          </cell>
        </row>
        <row r="889">
          <cell r="A889">
            <v>5296</v>
          </cell>
          <cell r="G889" t="str">
            <v>R8P6N4L2J0</v>
          </cell>
        </row>
        <row r="890">
          <cell r="A890">
            <v>6307</v>
          </cell>
          <cell r="G890" t="str">
            <v>4L2J0HYFWDUBS</v>
          </cell>
        </row>
        <row r="891">
          <cell r="A891">
            <v>7418</v>
          </cell>
          <cell r="G891" t="str">
            <v>HYFWDUBS9Q7O</v>
          </cell>
        </row>
        <row r="892">
          <cell r="A892">
            <v>8529</v>
          </cell>
          <cell r="G892" t="str">
            <v>UBS9Q7O</v>
          </cell>
        </row>
        <row r="893">
          <cell r="A893">
            <v>9630</v>
          </cell>
          <cell r="G893" t="str">
            <v>7O5M3K1</v>
          </cell>
        </row>
        <row r="894">
          <cell r="A894">
            <v>1741</v>
          </cell>
          <cell r="G894" t="str">
            <v>K1IZGXE</v>
          </cell>
        </row>
        <row r="895">
          <cell r="A895">
            <v>1852</v>
          </cell>
          <cell r="G895" t="str">
            <v>XEVCTAR</v>
          </cell>
        </row>
        <row r="896">
          <cell r="A896">
            <v>296307</v>
          </cell>
          <cell r="G896" t="str">
            <v>AR8P6N4</v>
          </cell>
        </row>
        <row r="897">
          <cell r="A897">
            <v>3074</v>
          </cell>
          <cell r="G897" t="str">
            <v>N4L2</v>
          </cell>
        </row>
        <row r="898">
          <cell r="A898">
            <v>4185</v>
          </cell>
          <cell r="G898" t="str">
            <v>0HYFWDUBS</v>
          </cell>
        </row>
        <row r="899">
          <cell r="A899">
            <v>5296</v>
          </cell>
          <cell r="G899" t="str">
            <v>DUBS9Q7O</v>
          </cell>
        </row>
        <row r="900">
          <cell r="A900">
            <v>6307</v>
          </cell>
          <cell r="G900" t="str">
            <v>Q7O5M3K1I</v>
          </cell>
        </row>
        <row r="901">
          <cell r="A901">
            <v>7418</v>
          </cell>
          <cell r="G901" t="str">
            <v>3K1I</v>
          </cell>
        </row>
        <row r="902">
          <cell r="A902">
            <v>8529</v>
          </cell>
          <cell r="G902" t="str">
            <v>GXEVCTAR</v>
          </cell>
        </row>
        <row r="903">
          <cell r="A903">
            <v>9630</v>
          </cell>
          <cell r="G903" t="str">
            <v>TAR8</v>
          </cell>
        </row>
        <row r="904">
          <cell r="A904">
            <v>1741</v>
          </cell>
          <cell r="G904" t="str">
            <v>6N4L2J0HYF</v>
          </cell>
        </row>
        <row r="905">
          <cell r="A905">
            <v>1852</v>
          </cell>
          <cell r="G905" t="str">
            <v>J0HY</v>
          </cell>
        </row>
        <row r="906">
          <cell r="A906">
            <v>2963</v>
          </cell>
          <cell r="G906" t="str">
            <v>WDUBS9Q7O</v>
          </cell>
        </row>
        <row r="907">
          <cell r="A907">
            <v>3074</v>
          </cell>
          <cell r="G907" t="str">
            <v>9Q7O</v>
          </cell>
        </row>
        <row r="908">
          <cell r="A908">
            <v>4185</v>
          </cell>
          <cell r="G908" t="str">
            <v>M3K1IZ</v>
          </cell>
        </row>
        <row r="909">
          <cell r="A909">
            <v>5296</v>
          </cell>
          <cell r="G909" t="str">
            <v>ZGXE</v>
          </cell>
        </row>
        <row r="910">
          <cell r="A910">
            <v>6307</v>
          </cell>
          <cell r="G910" t="str">
            <v>CTAR8P6N4</v>
          </cell>
        </row>
        <row r="911">
          <cell r="A911">
            <v>7418</v>
          </cell>
          <cell r="G911" t="str">
            <v>P6N4L2J0HY</v>
          </cell>
        </row>
        <row r="912">
          <cell r="A912">
            <v>8529</v>
          </cell>
          <cell r="G912" t="str">
            <v>2J0HYFWD</v>
          </cell>
        </row>
        <row r="913">
          <cell r="A913">
            <v>9630</v>
          </cell>
          <cell r="G913" t="str">
            <v>FWDUBS</v>
          </cell>
        </row>
        <row r="914">
          <cell r="A914">
            <v>1741</v>
          </cell>
          <cell r="G914" t="str">
            <v>S9Q7O5</v>
          </cell>
        </row>
        <row r="915">
          <cell r="A915">
            <v>1852</v>
          </cell>
          <cell r="G915" t="str">
            <v>5M3K1I</v>
          </cell>
        </row>
        <row r="916">
          <cell r="A916">
            <v>2963</v>
          </cell>
          <cell r="G916" t="str">
            <v>IZGXEVCTAR</v>
          </cell>
        </row>
        <row r="917">
          <cell r="A917">
            <v>3074</v>
          </cell>
          <cell r="G917" t="str">
            <v>VCTAR8P6N4L2J</v>
          </cell>
        </row>
        <row r="918">
          <cell r="A918">
            <v>4185</v>
          </cell>
          <cell r="G918" t="str">
            <v>8P6N4L2J0HYF</v>
          </cell>
        </row>
        <row r="919">
          <cell r="A919">
            <v>5296</v>
          </cell>
          <cell r="G919" t="str">
            <v>L2J0HY</v>
          </cell>
        </row>
        <row r="920">
          <cell r="A920">
            <v>6307</v>
          </cell>
          <cell r="G920" t="str">
            <v>YFWDUB</v>
          </cell>
        </row>
        <row r="921">
          <cell r="A921">
            <v>7418</v>
          </cell>
          <cell r="G921" t="str">
            <v>BS9Q7O5M</v>
          </cell>
        </row>
        <row r="922">
          <cell r="A922">
            <v>8529</v>
          </cell>
          <cell r="G922" t="str">
            <v>O5M3K1IZG</v>
          </cell>
        </row>
        <row r="923">
          <cell r="A923">
            <v>9630</v>
          </cell>
          <cell r="G923" t="str">
            <v>1IZGXEVCT</v>
          </cell>
        </row>
        <row r="924">
          <cell r="A924">
            <v>1741</v>
          </cell>
          <cell r="G924" t="str">
            <v>EVCTAR8P6N</v>
          </cell>
        </row>
        <row r="925">
          <cell r="A925">
            <v>1852</v>
          </cell>
          <cell r="G925" t="str">
            <v>R8P6N4L2J</v>
          </cell>
        </row>
        <row r="926">
          <cell r="A926">
            <v>2963</v>
          </cell>
          <cell r="G926" t="str">
            <v>4L2J0HYFWD</v>
          </cell>
        </row>
        <row r="927">
          <cell r="A927">
            <v>307418</v>
          </cell>
          <cell r="G927" t="str">
            <v>HYFWDUBS9Q</v>
          </cell>
        </row>
        <row r="928">
          <cell r="A928">
            <v>4185</v>
          </cell>
          <cell r="G928" t="str">
            <v>UBS9Q7</v>
          </cell>
        </row>
        <row r="929">
          <cell r="A929">
            <v>5296</v>
          </cell>
          <cell r="G929" t="str">
            <v>7O5M3K</v>
          </cell>
        </row>
        <row r="930">
          <cell r="A930">
            <v>6307</v>
          </cell>
          <cell r="G930" t="str">
            <v>K1IZGX</v>
          </cell>
        </row>
        <row r="931">
          <cell r="A931">
            <v>7418</v>
          </cell>
          <cell r="G931" t="str">
            <v>XEVCTA</v>
          </cell>
        </row>
        <row r="932">
          <cell r="A932">
            <v>8529</v>
          </cell>
          <cell r="G932" t="str">
            <v>AR8P6N4</v>
          </cell>
        </row>
        <row r="933">
          <cell r="A933">
            <v>9630</v>
          </cell>
          <cell r="G933" t="str">
            <v>N4L2J0HYF</v>
          </cell>
        </row>
        <row r="934">
          <cell r="A934">
            <v>1741</v>
          </cell>
          <cell r="G934" t="str">
            <v>0HYFWDUBS9</v>
          </cell>
        </row>
        <row r="935">
          <cell r="A935">
            <v>1852</v>
          </cell>
          <cell r="G935" t="str">
            <v>DUBS9Q7O5M</v>
          </cell>
        </row>
        <row r="936">
          <cell r="A936">
            <v>2963</v>
          </cell>
          <cell r="G936" t="str">
            <v>Q7O5M3K1IZ</v>
          </cell>
        </row>
        <row r="937">
          <cell r="A937">
            <v>3074</v>
          </cell>
          <cell r="G937" t="str">
            <v>3K1IZGXEV</v>
          </cell>
        </row>
        <row r="938">
          <cell r="A938">
            <v>4185</v>
          </cell>
          <cell r="G938" t="str">
            <v>GXEVCTAR8</v>
          </cell>
        </row>
        <row r="939">
          <cell r="A939">
            <v>5296</v>
          </cell>
          <cell r="G939" t="str">
            <v>TAR8P6N4</v>
          </cell>
        </row>
        <row r="940">
          <cell r="A940">
            <v>630741</v>
          </cell>
          <cell r="G940" t="str">
            <v>6N4L2J0HYFWDU</v>
          </cell>
        </row>
        <row r="941">
          <cell r="A941">
            <v>741852</v>
          </cell>
          <cell r="G941" t="str">
            <v>J0HYFWD</v>
          </cell>
        </row>
        <row r="942">
          <cell r="A942">
            <v>8529</v>
          </cell>
          <cell r="G942" t="str">
            <v>WDUBS9Q</v>
          </cell>
        </row>
        <row r="943">
          <cell r="A943">
            <v>9630</v>
          </cell>
          <cell r="G943" t="str">
            <v>9Q7O5M3</v>
          </cell>
        </row>
        <row r="944">
          <cell r="A944">
            <v>1741</v>
          </cell>
          <cell r="G944" t="str">
            <v>M3K1IZG</v>
          </cell>
        </row>
        <row r="945">
          <cell r="A945">
            <v>1852</v>
          </cell>
          <cell r="G945" t="str">
            <v>ZGXEVCTAR8</v>
          </cell>
        </row>
        <row r="946">
          <cell r="A946">
            <v>2963</v>
          </cell>
          <cell r="G946" t="str">
            <v>CTAR8P6N4L2J0</v>
          </cell>
        </row>
        <row r="947">
          <cell r="A947">
            <v>3074</v>
          </cell>
          <cell r="G947" t="str">
            <v>P6N4L2J0HYFW</v>
          </cell>
        </row>
        <row r="948">
          <cell r="A948">
            <v>4185</v>
          </cell>
          <cell r="G948" t="str">
            <v>2J0HYFW</v>
          </cell>
        </row>
        <row r="949">
          <cell r="A949">
            <v>5296</v>
          </cell>
          <cell r="G949" t="str">
            <v>FWDUBS9</v>
          </cell>
        </row>
        <row r="950">
          <cell r="A950">
            <v>6307</v>
          </cell>
          <cell r="G950" t="str">
            <v>S9Q7O5M</v>
          </cell>
        </row>
        <row r="951">
          <cell r="A951">
            <v>7418</v>
          </cell>
          <cell r="G951" t="str">
            <v>5M3K1IZ</v>
          </cell>
        </row>
        <row r="952">
          <cell r="A952">
            <v>8529</v>
          </cell>
          <cell r="G952" t="str">
            <v>IZGXEVC</v>
          </cell>
        </row>
        <row r="953">
          <cell r="A953">
            <v>9630</v>
          </cell>
          <cell r="G953" t="str">
            <v>VCTAR8P</v>
          </cell>
        </row>
        <row r="954">
          <cell r="A954">
            <v>1741</v>
          </cell>
          <cell r="G954" t="str">
            <v>8P6N4L2</v>
          </cell>
        </row>
        <row r="955">
          <cell r="A955">
            <v>1852</v>
          </cell>
          <cell r="G955" t="str">
            <v>L2J0HYFWDU</v>
          </cell>
        </row>
        <row r="956">
          <cell r="A956">
            <v>2963</v>
          </cell>
          <cell r="G956" t="str">
            <v>YFWDUBS9Q7O5M</v>
          </cell>
        </row>
        <row r="957">
          <cell r="A957">
            <v>3074</v>
          </cell>
          <cell r="G957" t="str">
            <v>BS9Q7O5M3K1I</v>
          </cell>
        </row>
        <row r="958">
          <cell r="A958">
            <v>4185</v>
          </cell>
          <cell r="G958" t="str">
            <v>O5M3K1I</v>
          </cell>
        </row>
        <row r="959">
          <cell r="A959">
            <v>5296</v>
          </cell>
          <cell r="G959" t="str">
            <v>1IZGXEV</v>
          </cell>
        </row>
        <row r="960">
          <cell r="A960">
            <v>6307</v>
          </cell>
          <cell r="G960" t="str">
            <v>EVCTAR8</v>
          </cell>
        </row>
        <row r="961">
          <cell r="A961">
            <v>7418</v>
          </cell>
          <cell r="G961" t="str">
            <v>R8P6N4L</v>
          </cell>
        </row>
        <row r="962">
          <cell r="A962">
            <v>8529</v>
          </cell>
          <cell r="G962" t="str">
            <v>4L2J0HY</v>
          </cell>
        </row>
        <row r="963">
          <cell r="A963">
            <v>9630</v>
          </cell>
          <cell r="G963" t="str">
            <v>HYFWDUB</v>
          </cell>
        </row>
        <row r="964">
          <cell r="A964">
            <v>1741</v>
          </cell>
          <cell r="G964" t="str">
            <v>UBS9Q7O</v>
          </cell>
        </row>
        <row r="965">
          <cell r="A965">
            <v>1852</v>
          </cell>
          <cell r="G965" t="str">
            <v>7O5M3K1</v>
          </cell>
        </row>
        <row r="966">
          <cell r="A966">
            <v>2963</v>
          </cell>
          <cell r="G966" t="str">
            <v>K1IZGXEVCT</v>
          </cell>
        </row>
        <row r="967">
          <cell r="A967">
            <v>3074</v>
          </cell>
          <cell r="G967" t="str">
            <v>XEVCTAR8P6N4L</v>
          </cell>
        </row>
        <row r="968">
          <cell r="A968">
            <v>4185</v>
          </cell>
          <cell r="G968" t="str">
            <v>AR8P6N4L2J0H</v>
          </cell>
        </row>
        <row r="969">
          <cell r="A969">
            <v>5296</v>
          </cell>
          <cell r="G969" t="str">
            <v>N4L2J0H</v>
          </cell>
        </row>
        <row r="970">
          <cell r="A970">
            <v>6307</v>
          </cell>
          <cell r="G970" t="str">
            <v>0HYFWDU</v>
          </cell>
        </row>
        <row r="971">
          <cell r="A971">
            <v>7418</v>
          </cell>
          <cell r="G971" t="str">
            <v>DUBS9Q7</v>
          </cell>
        </row>
        <row r="972">
          <cell r="A972">
            <v>8529</v>
          </cell>
          <cell r="G972" t="str">
            <v>Q7O5M3K</v>
          </cell>
        </row>
        <row r="973">
          <cell r="A973">
            <v>9630</v>
          </cell>
          <cell r="G973" t="str">
            <v>3K1IZGX</v>
          </cell>
        </row>
        <row r="974">
          <cell r="A974">
            <v>1741</v>
          </cell>
          <cell r="G974" t="str">
            <v>GXEVCTA</v>
          </cell>
        </row>
        <row r="975">
          <cell r="A975">
            <v>1852</v>
          </cell>
          <cell r="G975" t="str">
            <v>TAR8P6N</v>
          </cell>
        </row>
        <row r="976">
          <cell r="A976">
            <v>2963</v>
          </cell>
          <cell r="G976" t="str">
            <v>6N4L2J0</v>
          </cell>
        </row>
        <row r="977">
          <cell r="A977">
            <v>3074</v>
          </cell>
          <cell r="G977" t="str">
            <v>J0HYFWDUBS9</v>
          </cell>
        </row>
        <row r="978">
          <cell r="A978">
            <v>4185</v>
          </cell>
          <cell r="G978" t="str">
            <v>WDUBS9Q7O5M3K1</v>
          </cell>
        </row>
        <row r="979">
          <cell r="A979">
            <v>5296</v>
          </cell>
          <cell r="G979" t="str">
            <v>9Q7O5M3K1IZGX</v>
          </cell>
        </row>
        <row r="980">
          <cell r="A980">
            <v>6307</v>
          </cell>
          <cell r="G980" t="str">
            <v>M3K1IZG</v>
          </cell>
        </row>
        <row r="981">
          <cell r="A981">
            <v>7418</v>
          </cell>
          <cell r="G981" t="str">
            <v>ZGXEVCT</v>
          </cell>
        </row>
        <row r="982">
          <cell r="A982">
            <v>8529</v>
          </cell>
          <cell r="G982" t="str">
            <v>CTAR8P6</v>
          </cell>
        </row>
        <row r="983">
          <cell r="A983">
            <v>9630</v>
          </cell>
          <cell r="G983" t="str">
            <v>P6N4L2J</v>
          </cell>
        </row>
        <row r="984">
          <cell r="A984">
            <v>174185</v>
          </cell>
          <cell r="G984" t="str">
            <v>2J0HYFW</v>
          </cell>
        </row>
        <row r="985">
          <cell r="A985">
            <v>185296</v>
          </cell>
          <cell r="G985" t="str">
            <v>FWDU</v>
          </cell>
        </row>
        <row r="986">
          <cell r="A986">
            <v>296307</v>
          </cell>
          <cell r="G986" t="str">
            <v>S9Q7O5M3K</v>
          </cell>
        </row>
        <row r="987">
          <cell r="A987">
            <v>307418</v>
          </cell>
          <cell r="G987" t="str">
            <v>5M3K1IZG</v>
          </cell>
        </row>
        <row r="988">
          <cell r="A988">
            <v>418529</v>
          </cell>
          <cell r="G988" t="str">
            <v>IZGXEVCTA</v>
          </cell>
        </row>
        <row r="989">
          <cell r="A989">
            <v>529630</v>
          </cell>
          <cell r="G989" t="str">
            <v>VCTA</v>
          </cell>
        </row>
        <row r="990">
          <cell r="A990">
            <v>630741</v>
          </cell>
          <cell r="G990" t="str">
            <v>8P6N4L2J0</v>
          </cell>
        </row>
        <row r="991">
          <cell r="A991">
            <v>7418</v>
          </cell>
          <cell r="G991" t="str">
            <v>L2J0</v>
          </cell>
        </row>
        <row r="992">
          <cell r="A992">
            <v>8529</v>
          </cell>
          <cell r="G992" t="str">
            <v>YFWDUBS9Q</v>
          </cell>
        </row>
        <row r="993">
          <cell r="A993">
            <v>9630</v>
          </cell>
          <cell r="G993" t="str">
            <v>BS9Q7O5M</v>
          </cell>
        </row>
        <row r="994">
          <cell r="A994">
            <v>1741</v>
          </cell>
          <cell r="G994" t="str">
            <v>O5M3K1IZ</v>
          </cell>
        </row>
        <row r="995">
          <cell r="A995">
            <v>1852</v>
          </cell>
          <cell r="G995" t="str">
            <v>1IZG</v>
          </cell>
        </row>
        <row r="996">
          <cell r="A996">
            <v>2963</v>
          </cell>
          <cell r="G996" t="str">
            <v>EVCTAR8P</v>
          </cell>
        </row>
        <row r="997">
          <cell r="A997">
            <v>3074</v>
          </cell>
          <cell r="G997" t="str">
            <v>R8P6</v>
          </cell>
        </row>
        <row r="998">
          <cell r="A998">
            <v>4185</v>
          </cell>
          <cell r="G998" t="str">
            <v>4L2J0HYFWD</v>
          </cell>
        </row>
        <row r="999">
          <cell r="A999">
            <v>5296</v>
          </cell>
          <cell r="G999" t="str">
            <v>HYFW</v>
          </cell>
        </row>
        <row r="1000">
          <cell r="A1000">
            <v>6307</v>
          </cell>
          <cell r="G1000" t="str">
            <v>UBS9Q7O5M</v>
          </cell>
        </row>
        <row r="1001">
          <cell r="A1001">
            <v>7418</v>
          </cell>
          <cell r="G1001" t="str">
            <v>7O5M3K1I</v>
          </cell>
        </row>
        <row r="1002">
          <cell r="A1002">
            <v>8529</v>
          </cell>
          <cell r="G1002" t="str">
            <v>K1IZGXEV</v>
          </cell>
        </row>
        <row r="1003">
          <cell r="A1003">
            <v>9630</v>
          </cell>
          <cell r="G1003" t="str">
            <v>XEVC</v>
          </cell>
        </row>
        <row r="1004">
          <cell r="A1004">
            <v>1741</v>
          </cell>
          <cell r="G1004" t="str">
            <v>AR8P6N4L2</v>
          </cell>
        </row>
        <row r="1005">
          <cell r="A1005">
            <v>1852</v>
          </cell>
          <cell r="G1005" t="str">
            <v>N4L2</v>
          </cell>
        </row>
        <row r="1006">
          <cell r="A1006">
            <v>2963</v>
          </cell>
          <cell r="G1006" t="str">
            <v>0HYFWDUBS</v>
          </cell>
        </row>
        <row r="1007">
          <cell r="A1007">
            <v>3074</v>
          </cell>
          <cell r="G1007" t="str">
            <v>DUBS</v>
          </cell>
        </row>
        <row r="1008">
          <cell r="A1008">
            <v>4185</v>
          </cell>
          <cell r="G1008" t="str">
            <v>Q7O5M3</v>
          </cell>
        </row>
        <row r="1009">
          <cell r="A1009">
            <v>5296</v>
          </cell>
          <cell r="G1009" t="str">
            <v>3K1I</v>
          </cell>
        </row>
        <row r="1010">
          <cell r="A1010">
            <v>6307</v>
          </cell>
          <cell r="G1010" t="str">
            <v>GXEVCTAR8</v>
          </cell>
        </row>
        <row r="1011">
          <cell r="A1011">
            <v>7418</v>
          </cell>
          <cell r="G1011" t="str">
            <v>TAR8P6N4L2</v>
          </cell>
        </row>
        <row r="1012">
          <cell r="A1012">
            <v>8529</v>
          </cell>
          <cell r="G1012" t="str">
            <v>6N4L2J0H</v>
          </cell>
        </row>
        <row r="1013">
          <cell r="A1013">
            <v>9630</v>
          </cell>
          <cell r="G1013" t="str">
            <v>J0HYFW</v>
          </cell>
        </row>
        <row r="1014">
          <cell r="A1014">
            <v>1741</v>
          </cell>
          <cell r="G1014" t="str">
            <v>WDUBS9</v>
          </cell>
        </row>
        <row r="1015">
          <cell r="A1015">
            <v>1852</v>
          </cell>
          <cell r="G1015" t="str">
            <v>9Q7O5M</v>
          </cell>
        </row>
        <row r="1016">
          <cell r="A1016">
            <v>2963</v>
          </cell>
          <cell r="G1016" t="str">
            <v>M3K1IZGXEVCT</v>
          </cell>
        </row>
        <row r="1017">
          <cell r="A1017">
            <v>3074</v>
          </cell>
          <cell r="G1017" t="str">
            <v>ZGXEVCTAR8P6N</v>
          </cell>
        </row>
        <row r="1018">
          <cell r="A1018">
            <v>4185</v>
          </cell>
          <cell r="G1018" t="str">
            <v>CTAR8P</v>
          </cell>
        </row>
        <row r="1019">
          <cell r="A1019">
            <v>5296</v>
          </cell>
          <cell r="G1019" t="str">
            <v>P6N4L2</v>
          </cell>
        </row>
        <row r="1020">
          <cell r="A1020">
            <v>6307</v>
          </cell>
          <cell r="G1020" t="str">
            <v>2J0HYFWD</v>
          </cell>
        </row>
        <row r="1021">
          <cell r="A1021">
            <v>7418</v>
          </cell>
          <cell r="G1021" t="str">
            <v>FWDUBS9Q7</v>
          </cell>
        </row>
        <row r="1022">
          <cell r="A1022">
            <v>8529</v>
          </cell>
          <cell r="G1022" t="str">
            <v>S9Q7O5M3K</v>
          </cell>
        </row>
        <row r="1023">
          <cell r="A1023">
            <v>9630</v>
          </cell>
          <cell r="G1023" t="str">
            <v>5M3K1IZGX</v>
          </cell>
        </row>
        <row r="1024">
          <cell r="A1024">
            <v>1741</v>
          </cell>
          <cell r="G1024" t="str">
            <v>IZGXEVCTAR</v>
          </cell>
        </row>
        <row r="1025">
          <cell r="A1025">
            <v>1852</v>
          </cell>
          <cell r="G1025" t="str">
            <v>VCTAR8P6N4</v>
          </cell>
        </row>
        <row r="1026">
          <cell r="A1026">
            <v>296307</v>
          </cell>
          <cell r="G1026" t="str">
            <v>8P6N4L2J0</v>
          </cell>
        </row>
        <row r="1027">
          <cell r="A1027">
            <v>3074</v>
          </cell>
          <cell r="G1027" t="str">
            <v>L2J0HY</v>
          </cell>
        </row>
        <row r="1028">
          <cell r="A1028">
            <v>4185</v>
          </cell>
          <cell r="G1028" t="str">
            <v>YFWDUB</v>
          </cell>
        </row>
        <row r="1029">
          <cell r="A1029">
            <v>5296</v>
          </cell>
          <cell r="G1029" t="str">
            <v>BS9Q7O</v>
          </cell>
        </row>
        <row r="1030">
          <cell r="A1030">
            <v>6307</v>
          </cell>
          <cell r="G1030" t="str">
            <v>O5M3K1</v>
          </cell>
        </row>
        <row r="1031">
          <cell r="A1031">
            <v>7418</v>
          </cell>
          <cell r="G1031" t="str">
            <v>1IZGXEV</v>
          </cell>
        </row>
        <row r="1032">
          <cell r="A1032">
            <v>8529</v>
          </cell>
          <cell r="G1032" t="str">
            <v>EVCTAR8P6</v>
          </cell>
        </row>
        <row r="1033">
          <cell r="A1033">
            <v>9630</v>
          </cell>
          <cell r="G1033" t="str">
            <v>R8P6N4L2J0</v>
          </cell>
        </row>
        <row r="1034">
          <cell r="A1034">
            <v>1741</v>
          </cell>
          <cell r="G1034" t="str">
            <v>4L2J0HYFWD</v>
          </cell>
        </row>
        <row r="1035">
          <cell r="A1035">
            <v>1852</v>
          </cell>
          <cell r="G1035" t="str">
            <v>HYFWDUBS9Q</v>
          </cell>
        </row>
        <row r="1036">
          <cell r="A1036">
            <v>2963</v>
          </cell>
          <cell r="G1036" t="str">
            <v>UBS9Q7O5M</v>
          </cell>
        </row>
        <row r="1037">
          <cell r="A1037">
            <v>3074</v>
          </cell>
          <cell r="G1037" t="str">
            <v>7O5M3K1IZ</v>
          </cell>
        </row>
        <row r="1038">
          <cell r="A1038">
            <v>4185</v>
          </cell>
          <cell r="G1038" t="str">
            <v>K1IZGXEV</v>
          </cell>
        </row>
        <row r="1039">
          <cell r="A1039">
            <v>529630</v>
          </cell>
          <cell r="G1039" t="str">
            <v>XEVCTAR8P6N4L</v>
          </cell>
        </row>
        <row r="1040">
          <cell r="A1040">
            <v>630741</v>
          </cell>
          <cell r="G1040" t="str">
            <v>AR8P6N4</v>
          </cell>
        </row>
        <row r="1041">
          <cell r="A1041">
            <v>7418</v>
          </cell>
          <cell r="G1041" t="str">
            <v>N4L2J0H</v>
          </cell>
        </row>
        <row r="1042">
          <cell r="A1042">
            <v>8529</v>
          </cell>
          <cell r="G1042" t="str">
            <v>0HYFWDU</v>
          </cell>
        </row>
        <row r="1043">
          <cell r="A1043">
            <v>9630</v>
          </cell>
          <cell r="G1043" t="str">
            <v>DUBS9Q7</v>
          </cell>
        </row>
        <row r="1044">
          <cell r="A1044">
            <v>1741</v>
          </cell>
          <cell r="G1044" t="str">
            <v>Q7O5M3K1IZGX</v>
          </cell>
        </row>
        <row r="1045">
          <cell r="A1045">
            <v>1852</v>
          </cell>
          <cell r="G1045" t="str">
            <v>3K1IZGXEVCTAR</v>
          </cell>
        </row>
        <row r="1046">
          <cell r="A1046">
            <v>2963</v>
          </cell>
          <cell r="G1046" t="str">
            <v>GXEVCTAR8P</v>
          </cell>
        </row>
        <row r="1047">
          <cell r="A1047">
            <v>3074</v>
          </cell>
          <cell r="G1047" t="str">
            <v>TAR8P6N</v>
          </cell>
        </row>
        <row r="1048">
          <cell r="A1048">
            <v>4185</v>
          </cell>
          <cell r="G1048" t="str">
            <v>6N4L2J0</v>
          </cell>
        </row>
        <row r="1049">
          <cell r="A1049">
            <v>5296</v>
          </cell>
          <cell r="G1049" t="str">
            <v>J0HYFWD</v>
          </cell>
        </row>
        <row r="1050">
          <cell r="A1050">
            <v>6307</v>
          </cell>
          <cell r="G1050" t="str">
            <v>WDUBS9Q</v>
          </cell>
        </row>
        <row r="1051">
          <cell r="A1051">
            <v>7418</v>
          </cell>
          <cell r="G1051" t="str">
            <v>9Q7O5M3</v>
          </cell>
        </row>
        <row r="1052">
          <cell r="A1052">
            <v>8529</v>
          </cell>
          <cell r="G1052" t="str">
            <v>M3K1IZG</v>
          </cell>
        </row>
        <row r="1053">
          <cell r="A1053">
            <v>9630</v>
          </cell>
          <cell r="G1053" t="str">
            <v>ZGXEVCT</v>
          </cell>
        </row>
        <row r="1054">
          <cell r="A1054">
            <v>1741</v>
          </cell>
          <cell r="G1054" t="str">
            <v>CTAR8P6N4L2J</v>
          </cell>
        </row>
        <row r="1055">
          <cell r="A1055">
            <v>1852</v>
          </cell>
          <cell r="G1055" t="str">
            <v>P6N4L2J0HYFWD</v>
          </cell>
        </row>
        <row r="1056">
          <cell r="A1056">
            <v>2963</v>
          </cell>
          <cell r="G1056" t="str">
            <v>2J0HYFWDUB</v>
          </cell>
        </row>
        <row r="1057">
          <cell r="A1057">
            <v>3074</v>
          </cell>
          <cell r="G1057" t="str">
            <v>FWDUBS9</v>
          </cell>
        </row>
        <row r="1058">
          <cell r="A1058">
            <v>4185</v>
          </cell>
          <cell r="G1058" t="str">
            <v>S9Q7O5M</v>
          </cell>
        </row>
        <row r="1059">
          <cell r="A1059">
            <v>5296</v>
          </cell>
          <cell r="G1059" t="str">
            <v>5M3K1IZ</v>
          </cell>
        </row>
        <row r="1060">
          <cell r="A1060">
            <v>6307</v>
          </cell>
          <cell r="G1060" t="str">
            <v>IZGXEVC</v>
          </cell>
        </row>
        <row r="1061">
          <cell r="A1061">
            <v>7418</v>
          </cell>
          <cell r="G1061" t="str">
            <v>VCTAR8P</v>
          </cell>
        </row>
        <row r="1062">
          <cell r="A1062">
            <v>8529</v>
          </cell>
          <cell r="G1062" t="str">
            <v>8P6N4L2</v>
          </cell>
        </row>
        <row r="1063">
          <cell r="A1063">
            <v>9630</v>
          </cell>
          <cell r="G1063" t="str">
            <v>L2J0HYF</v>
          </cell>
        </row>
        <row r="1064">
          <cell r="A1064">
            <v>1741</v>
          </cell>
          <cell r="G1064" t="str">
            <v>YFWDUBS</v>
          </cell>
        </row>
        <row r="1065">
          <cell r="A1065">
            <v>1852</v>
          </cell>
          <cell r="G1065" t="str">
            <v>BS9Q7O5M3K1I</v>
          </cell>
        </row>
        <row r="1066">
          <cell r="A1066">
            <v>2963</v>
          </cell>
          <cell r="G1066" t="str">
            <v>O5M3K1IZGXEVC</v>
          </cell>
        </row>
        <row r="1067">
          <cell r="A1067">
            <v>3074</v>
          </cell>
          <cell r="G1067" t="str">
            <v>1IZGXEVCTA</v>
          </cell>
        </row>
        <row r="1068">
          <cell r="A1068">
            <v>4185</v>
          </cell>
          <cell r="G1068" t="str">
            <v>EVCTAR8</v>
          </cell>
        </row>
        <row r="1069">
          <cell r="A1069">
            <v>5296</v>
          </cell>
          <cell r="G1069" t="str">
            <v>R8P6N4L</v>
          </cell>
        </row>
        <row r="1070">
          <cell r="A1070">
            <v>6307</v>
          </cell>
          <cell r="G1070" t="str">
            <v>4L2J0HY</v>
          </cell>
        </row>
        <row r="1071">
          <cell r="A1071">
            <v>7418</v>
          </cell>
          <cell r="G1071" t="str">
            <v>HYFWDUB</v>
          </cell>
        </row>
        <row r="1072">
          <cell r="A1072">
            <v>8529</v>
          </cell>
          <cell r="G1072" t="str">
            <v>UBS9Q7O</v>
          </cell>
        </row>
        <row r="1073">
          <cell r="A1073">
            <v>9630</v>
          </cell>
          <cell r="G1073" t="str">
            <v>7O5M3K1</v>
          </cell>
        </row>
        <row r="1074">
          <cell r="A1074">
            <v>1741</v>
          </cell>
          <cell r="G1074" t="str">
            <v>K1IZGXE</v>
          </cell>
        </row>
        <row r="1075">
          <cell r="A1075">
            <v>1852</v>
          </cell>
          <cell r="G1075" t="str">
            <v>XEVCTAR</v>
          </cell>
        </row>
        <row r="1076">
          <cell r="A1076">
            <v>2963</v>
          </cell>
          <cell r="G1076" t="str">
            <v>AR8P6N4L2J0HY</v>
          </cell>
        </row>
        <row r="1077">
          <cell r="A1077">
            <v>3074</v>
          </cell>
          <cell r="G1077" t="str">
            <v>N4L2J0HYFWDUBS</v>
          </cell>
        </row>
        <row r="1078">
          <cell r="A1078">
            <v>4185</v>
          </cell>
          <cell r="G1078" t="str">
            <v>0HYFWDUBS9Q</v>
          </cell>
        </row>
        <row r="1079">
          <cell r="A1079">
            <v>5296</v>
          </cell>
          <cell r="G1079" t="str">
            <v>DUBS9Q7</v>
          </cell>
        </row>
        <row r="1080">
          <cell r="A1080">
            <v>6307</v>
          </cell>
          <cell r="G1080" t="str">
            <v>Q7O5M3K</v>
          </cell>
        </row>
        <row r="1081">
          <cell r="A1081">
            <v>7418</v>
          </cell>
          <cell r="G1081" t="str">
            <v>3K1IZGX</v>
          </cell>
        </row>
        <row r="1082">
          <cell r="A1082">
            <v>8529</v>
          </cell>
          <cell r="G1082" t="str">
            <v>GXEVCTA</v>
          </cell>
        </row>
        <row r="1083">
          <cell r="A1083">
            <v>963074</v>
          </cell>
          <cell r="G1083" t="str">
            <v>TAR8P6N</v>
          </cell>
        </row>
        <row r="1084">
          <cell r="A1084">
            <v>1741</v>
          </cell>
          <cell r="G1084" t="str">
            <v>6N4L</v>
          </cell>
        </row>
        <row r="1085">
          <cell r="A1085">
            <v>1852</v>
          </cell>
          <cell r="G1085" t="str">
            <v>J0HYFWDUB</v>
          </cell>
        </row>
        <row r="1086">
          <cell r="A1086">
            <v>2963</v>
          </cell>
          <cell r="G1086" t="str">
            <v>WDUBS9Q7</v>
          </cell>
        </row>
        <row r="1087">
          <cell r="A1087">
            <v>3074</v>
          </cell>
          <cell r="G1087" t="str">
            <v>9Q7O5M3</v>
          </cell>
        </row>
        <row r="1088">
          <cell r="A1088">
            <v>4185</v>
          </cell>
          <cell r="G1088" t="str">
            <v>M3K1</v>
          </cell>
        </row>
        <row r="1089">
          <cell r="A1089">
            <v>5296</v>
          </cell>
          <cell r="G1089" t="str">
            <v>ZGXEVCTAR</v>
          </cell>
        </row>
        <row r="1090">
          <cell r="A1090">
            <v>6307</v>
          </cell>
          <cell r="G1090" t="str">
            <v>CTAR</v>
          </cell>
        </row>
        <row r="1091">
          <cell r="A1091">
            <v>7418</v>
          </cell>
          <cell r="G1091" t="str">
            <v>P6N4L2J0HY</v>
          </cell>
        </row>
        <row r="1092">
          <cell r="A1092">
            <v>8529</v>
          </cell>
          <cell r="G1092" t="str">
            <v>2J0H</v>
          </cell>
        </row>
        <row r="1093">
          <cell r="A1093">
            <v>9630</v>
          </cell>
          <cell r="G1093" t="str">
            <v>FWDUBS9Q7</v>
          </cell>
        </row>
        <row r="1094">
          <cell r="A1094">
            <v>1741</v>
          </cell>
          <cell r="G1094" t="str">
            <v>S9Q7</v>
          </cell>
        </row>
        <row r="1095">
          <cell r="A1095">
            <v>1852</v>
          </cell>
          <cell r="G1095" t="str">
            <v>5M3K1IZGX</v>
          </cell>
        </row>
        <row r="1096">
          <cell r="A1096">
            <v>2963</v>
          </cell>
          <cell r="G1096" t="str">
            <v>IZGX</v>
          </cell>
        </row>
        <row r="1097">
          <cell r="A1097">
            <v>3074</v>
          </cell>
          <cell r="G1097" t="str">
            <v>VCTAR8</v>
          </cell>
        </row>
        <row r="1098">
          <cell r="A1098">
            <v>4185</v>
          </cell>
          <cell r="G1098" t="str">
            <v>8P6N</v>
          </cell>
        </row>
        <row r="1099">
          <cell r="A1099">
            <v>5296</v>
          </cell>
          <cell r="G1099" t="str">
            <v>L2J0HYFWD</v>
          </cell>
        </row>
        <row r="1100">
          <cell r="A1100">
            <v>6307</v>
          </cell>
          <cell r="G1100" t="str">
            <v>YFWDUBS9Q7</v>
          </cell>
        </row>
        <row r="1101">
          <cell r="A1101">
            <v>7418</v>
          </cell>
          <cell r="G1101" t="str">
            <v>BS9Q7O5M</v>
          </cell>
        </row>
        <row r="1102">
          <cell r="A1102">
            <v>8529</v>
          </cell>
          <cell r="G1102" t="str">
            <v>O5M3K1</v>
          </cell>
        </row>
        <row r="1103">
          <cell r="A1103">
            <v>9630</v>
          </cell>
          <cell r="G1103" t="str">
            <v>1IZGXE</v>
          </cell>
        </row>
        <row r="1104">
          <cell r="A1104">
            <v>1741</v>
          </cell>
          <cell r="G1104" t="str">
            <v>EVCTAR</v>
          </cell>
        </row>
        <row r="1105">
          <cell r="A1105">
            <v>1852</v>
          </cell>
          <cell r="G1105" t="str">
            <v>R8P6N4L2J0</v>
          </cell>
        </row>
        <row r="1106">
          <cell r="A1106">
            <v>2963</v>
          </cell>
          <cell r="G1106" t="str">
            <v>4L2J0HYFWDUBS</v>
          </cell>
        </row>
        <row r="1107">
          <cell r="A1107">
            <v>3074</v>
          </cell>
          <cell r="G1107" t="str">
            <v>HYFWDU</v>
          </cell>
        </row>
        <row r="1108">
          <cell r="A1108">
            <v>4185</v>
          </cell>
          <cell r="G1108" t="str">
            <v>UBS9Q7</v>
          </cell>
        </row>
        <row r="1109">
          <cell r="A1109">
            <v>5296</v>
          </cell>
          <cell r="G1109" t="str">
            <v>7O5M3K1I</v>
          </cell>
        </row>
        <row r="1110">
          <cell r="A1110">
            <v>6307</v>
          </cell>
          <cell r="G1110" t="str">
            <v>K1IZGXEVC</v>
          </cell>
        </row>
        <row r="1111">
          <cell r="A1111">
            <v>7418</v>
          </cell>
          <cell r="G1111" t="str">
            <v>XEVCTAR8P</v>
          </cell>
        </row>
        <row r="1112">
          <cell r="A1112">
            <v>8529</v>
          </cell>
          <cell r="G1112" t="str">
            <v>AR8P6N4L2</v>
          </cell>
        </row>
        <row r="1113">
          <cell r="A1113">
            <v>9630</v>
          </cell>
          <cell r="G1113" t="str">
            <v>N4L2J0HYFW</v>
          </cell>
        </row>
        <row r="1114">
          <cell r="A1114">
            <v>1741</v>
          </cell>
          <cell r="G1114" t="str">
            <v>0HYFWDUBS9</v>
          </cell>
        </row>
        <row r="1115">
          <cell r="A1115">
            <v>185296</v>
          </cell>
          <cell r="G1115" t="str">
            <v>DUBS9Q7O5M</v>
          </cell>
        </row>
        <row r="1116">
          <cell r="A1116">
            <v>2963</v>
          </cell>
          <cell r="G1116" t="str">
            <v>Q7O5M3</v>
          </cell>
        </row>
        <row r="1117">
          <cell r="A1117">
            <v>3074</v>
          </cell>
          <cell r="G1117" t="str">
            <v>3K1IZG</v>
          </cell>
        </row>
        <row r="1118">
          <cell r="A1118">
            <v>4185</v>
          </cell>
          <cell r="G1118" t="str">
            <v>GXEVCT</v>
          </cell>
        </row>
        <row r="1119">
          <cell r="A1119">
            <v>5296</v>
          </cell>
          <cell r="G1119" t="str">
            <v>TAR8P6</v>
          </cell>
        </row>
        <row r="1120">
          <cell r="A1120">
            <v>6307</v>
          </cell>
          <cell r="G1120" t="str">
            <v>6N4L2J0</v>
          </cell>
        </row>
        <row r="1121">
          <cell r="A1121">
            <v>7418</v>
          </cell>
          <cell r="G1121" t="str">
            <v>J0HYFWDUB</v>
          </cell>
        </row>
        <row r="1122">
          <cell r="A1122">
            <v>8529</v>
          </cell>
          <cell r="G1122" t="str">
            <v>WDUBS9Q7O5</v>
          </cell>
        </row>
        <row r="1123">
          <cell r="A1123">
            <v>9630</v>
          </cell>
          <cell r="G1123" t="str">
            <v>9Q7O5M3K1I</v>
          </cell>
        </row>
        <row r="1124">
          <cell r="A1124">
            <v>1741</v>
          </cell>
          <cell r="G1124" t="str">
            <v>M3K1IZGXEV</v>
          </cell>
        </row>
        <row r="1125">
          <cell r="A1125">
            <v>1852</v>
          </cell>
          <cell r="G1125" t="str">
            <v>ZGXEVCTAR</v>
          </cell>
        </row>
        <row r="1126">
          <cell r="A1126">
            <v>2963</v>
          </cell>
          <cell r="G1126" t="str">
            <v>CTAR8P6N4</v>
          </cell>
        </row>
        <row r="1127">
          <cell r="A1127">
            <v>3074</v>
          </cell>
          <cell r="G1127" t="str">
            <v>P6N4L2J0</v>
          </cell>
        </row>
        <row r="1128">
          <cell r="A1128">
            <v>418529</v>
          </cell>
          <cell r="G1128" t="str">
            <v>2J0HYFWDUBS9Q</v>
          </cell>
        </row>
        <row r="1129">
          <cell r="A1129">
            <v>529630</v>
          </cell>
          <cell r="G1129" t="str">
            <v>FWDUBS9</v>
          </cell>
        </row>
        <row r="1130">
          <cell r="A1130">
            <v>6307</v>
          </cell>
          <cell r="G1130" t="str">
            <v>S9Q7O5M</v>
          </cell>
        </row>
        <row r="1131">
          <cell r="A1131">
            <v>7418</v>
          </cell>
          <cell r="G1131" t="str">
            <v>5M3K1IZ</v>
          </cell>
        </row>
        <row r="1132">
          <cell r="A1132">
            <v>8529</v>
          </cell>
          <cell r="G1132" t="str">
            <v>IZGXEVC</v>
          </cell>
        </row>
        <row r="1133">
          <cell r="A1133">
            <v>9630</v>
          </cell>
          <cell r="G1133" t="str">
            <v>VCTAR8P6N4</v>
          </cell>
        </row>
        <row r="1134">
          <cell r="A1134">
            <v>1741</v>
          </cell>
          <cell r="G1134" t="str">
            <v>8P6N4L2J0HYFW</v>
          </cell>
        </row>
        <row r="1135">
          <cell r="A1135">
            <v>1852</v>
          </cell>
          <cell r="G1135" t="str">
            <v>L2J0HYFWDU</v>
          </cell>
        </row>
        <row r="1136">
          <cell r="A1136">
            <v>2963</v>
          </cell>
          <cell r="G1136" t="str">
            <v>YFWDUBS</v>
          </cell>
        </row>
        <row r="1137">
          <cell r="A1137">
            <v>3074</v>
          </cell>
          <cell r="G1137" t="str">
            <v>BS9Q7O5</v>
          </cell>
        </row>
        <row r="1138">
          <cell r="A1138">
            <v>4185</v>
          </cell>
          <cell r="G1138" t="str">
            <v>O5M3K1I</v>
          </cell>
        </row>
        <row r="1139">
          <cell r="A1139">
            <v>5296</v>
          </cell>
          <cell r="G1139" t="str">
            <v>1IZGXEV</v>
          </cell>
        </row>
        <row r="1140">
          <cell r="A1140">
            <v>6307</v>
          </cell>
          <cell r="G1140" t="str">
            <v>EVCTAR8</v>
          </cell>
        </row>
        <row r="1141">
          <cell r="A1141">
            <v>7418</v>
          </cell>
          <cell r="G1141" t="str">
            <v>R8P6N4L</v>
          </cell>
        </row>
        <row r="1142">
          <cell r="A1142">
            <v>8529</v>
          </cell>
          <cell r="G1142" t="str">
            <v>4L2J0HY</v>
          </cell>
        </row>
        <row r="1143">
          <cell r="A1143">
            <v>9630</v>
          </cell>
          <cell r="G1143" t="str">
            <v>HYFWDUBS9Q</v>
          </cell>
        </row>
        <row r="1144">
          <cell r="A1144">
            <v>1741</v>
          </cell>
          <cell r="G1144" t="str">
            <v>UBS9Q7O5M3K1I</v>
          </cell>
        </row>
        <row r="1145">
          <cell r="A1145">
            <v>1852</v>
          </cell>
          <cell r="G1145" t="str">
            <v>7O5M3K1IZG</v>
          </cell>
        </row>
        <row r="1146">
          <cell r="A1146">
            <v>2963</v>
          </cell>
          <cell r="G1146" t="str">
            <v>K1IZGXE</v>
          </cell>
        </row>
        <row r="1147">
          <cell r="A1147">
            <v>3074</v>
          </cell>
          <cell r="G1147" t="str">
            <v>XEVCTAR</v>
          </cell>
        </row>
        <row r="1148">
          <cell r="A1148">
            <v>4185</v>
          </cell>
          <cell r="G1148" t="str">
            <v>AR8P6N4</v>
          </cell>
        </row>
        <row r="1149">
          <cell r="A1149">
            <v>5296</v>
          </cell>
          <cell r="G1149" t="str">
            <v>N4L2J0H</v>
          </cell>
        </row>
        <row r="1150">
          <cell r="A1150">
            <v>6307</v>
          </cell>
          <cell r="G1150" t="str">
            <v>0HYFWDU</v>
          </cell>
        </row>
        <row r="1151">
          <cell r="A1151">
            <v>7418</v>
          </cell>
          <cell r="G1151" t="str">
            <v>DUBS9Q7</v>
          </cell>
        </row>
        <row r="1152">
          <cell r="A1152">
            <v>8529</v>
          </cell>
          <cell r="G1152" t="str">
            <v>Q7O5M3K</v>
          </cell>
        </row>
        <row r="1153">
          <cell r="A1153">
            <v>9630</v>
          </cell>
          <cell r="G1153" t="str">
            <v>3K1IZGX</v>
          </cell>
        </row>
        <row r="1154">
          <cell r="A1154">
            <v>1741</v>
          </cell>
          <cell r="G1154" t="str">
            <v>GXEVCTAR8P</v>
          </cell>
        </row>
        <row r="1155">
          <cell r="A1155">
            <v>1852</v>
          </cell>
          <cell r="G1155" t="str">
            <v>TAR8P6N4L2J0H</v>
          </cell>
        </row>
        <row r="1156">
          <cell r="A1156">
            <v>2963</v>
          </cell>
          <cell r="G1156" t="str">
            <v>6N4L2J0HYF</v>
          </cell>
        </row>
        <row r="1157">
          <cell r="A1157">
            <v>3074</v>
          </cell>
          <cell r="G1157" t="str">
            <v>J0HYFWD</v>
          </cell>
        </row>
        <row r="1158">
          <cell r="A1158">
            <v>4185</v>
          </cell>
          <cell r="G1158" t="str">
            <v>WDUBS9Q</v>
          </cell>
        </row>
        <row r="1159">
          <cell r="A1159">
            <v>5296</v>
          </cell>
          <cell r="G1159" t="str">
            <v>9Q7O5M3</v>
          </cell>
        </row>
        <row r="1160">
          <cell r="A1160">
            <v>6307</v>
          </cell>
          <cell r="G1160" t="str">
            <v>M3K1IZG</v>
          </cell>
        </row>
        <row r="1161">
          <cell r="A1161">
            <v>7418</v>
          </cell>
          <cell r="G1161" t="str">
            <v>ZGXEVCT</v>
          </cell>
        </row>
        <row r="1162">
          <cell r="A1162">
            <v>8529</v>
          </cell>
          <cell r="G1162" t="str">
            <v>CTAR8P6</v>
          </cell>
        </row>
        <row r="1163">
          <cell r="A1163">
            <v>9630</v>
          </cell>
          <cell r="G1163" t="str">
            <v>P6N4L2J</v>
          </cell>
        </row>
        <row r="1164">
          <cell r="A1164">
            <v>1741</v>
          </cell>
          <cell r="G1164" t="str">
            <v>2J0HYFW</v>
          </cell>
        </row>
        <row r="1165">
          <cell r="A1165">
            <v>1852</v>
          </cell>
          <cell r="G1165" t="str">
            <v>FWDUBS9Q7O5</v>
          </cell>
        </row>
        <row r="1166">
          <cell r="A1166">
            <v>2963</v>
          </cell>
          <cell r="G1166" t="str">
            <v>S9Q7O5M3K1IZGX</v>
          </cell>
        </row>
        <row r="1167">
          <cell r="A1167">
            <v>3074</v>
          </cell>
          <cell r="G1167" t="str">
            <v>5M3K1IZGXEV</v>
          </cell>
        </row>
        <row r="1168">
          <cell r="A1168">
            <v>4185</v>
          </cell>
          <cell r="G1168" t="str">
            <v>IZGXEVC</v>
          </cell>
        </row>
        <row r="1169">
          <cell r="A1169">
            <v>5296</v>
          </cell>
          <cell r="G1169" t="str">
            <v>VCTAR8P</v>
          </cell>
        </row>
        <row r="1170">
          <cell r="A1170">
            <v>6307</v>
          </cell>
          <cell r="G1170" t="str">
            <v>8P6N4L2</v>
          </cell>
        </row>
        <row r="1171">
          <cell r="A1171">
            <v>7418</v>
          </cell>
          <cell r="G1171" t="str">
            <v>L2J0HYF</v>
          </cell>
        </row>
        <row r="1172">
          <cell r="A1172">
            <v>852963</v>
          </cell>
          <cell r="G1172" t="str">
            <v>YFWDUBS</v>
          </cell>
        </row>
        <row r="1173">
          <cell r="A1173">
            <v>9630</v>
          </cell>
          <cell r="G1173" t="str">
            <v>BS9Q</v>
          </cell>
        </row>
        <row r="1174">
          <cell r="A1174">
            <v>1741</v>
          </cell>
          <cell r="G1174" t="str">
            <v>O5M3K1IZG</v>
          </cell>
        </row>
        <row r="1175">
          <cell r="A1175">
            <v>1852</v>
          </cell>
          <cell r="G1175" t="str">
            <v>1IZG</v>
          </cell>
        </row>
        <row r="1176">
          <cell r="A1176">
            <v>2963</v>
          </cell>
          <cell r="G1176" t="str">
            <v>EVCTAR8P6</v>
          </cell>
        </row>
        <row r="1177">
          <cell r="A1177">
            <v>3074</v>
          </cell>
          <cell r="G1177" t="str">
            <v>R8P6N4L2</v>
          </cell>
        </row>
        <row r="1178">
          <cell r="A1178">
            <v>4185</v>
          </cell>
          <cell r="G1178" t="str">
            <v>4L2J0HYFW</v>
          </cell>
        </row>
        <row r="1179">
          <cell r="A1179">
            <v>5296</v>
          </cell>
          <cell r="G1179" t="str">
            <v>HYFW</v>
          </cell>
        </row>
        <row r="1180">
          <cell r="A1180">
            <v>6307</v>
          </cell>
          <cell r="G1180" t="str">
            <v>UBS9Q7O5M</v>
          </cell>
        </row>
        <row r="1181">
          <cell r="A1181">
            <v>7418</v>
          </cell>
          <cell r="G1181" t="str">
            <v>7O5M3K1I</v>
          </cell>
        </row>
        <row r="1182">
          <cell r="A1182">
            <v>8529</v>
          </cell>
          <cell r="G1182" t="str">
            <v>K1IZGXE</v>
          </cell>
        </row>
        <row r="1183">
          <cell r="A1183">
            <v>9630</v>
          </cell>
          <cell r="G1183" t="str">
            <v>XEVC</v>
          </cell>
        </row>
        <row r="1184">
          <cell r="A1184">
            <v>1741</v>
          </cell>
          <cell r="G1184" t="str">
            <v>AR8P6N4L2</v>
          </cell>
        </row>
        <row r="1185">
          <cell r="A1185">
            <v>1852</v>
          </cell>
          <cell r="G1185" t="str">
            <v>N4L2</v>
          </cell>
        </row>
        <row r="1186">
          <cell r="A1186">
            <v>2963</v>
          </cell>
          <cell r="G1186" t="str">
            <v>0HYFWDUBS9</v>
          </cell>
        </row>
        <row r="1187">
          <cell r="A1187">
            <v>3074</v>
          </cell>
          <cell r="G1187" t="str">
            <v>DUBS</v>
          </cell>
        </row>
        <row r="1188">
          <cell r="A1188">
            <v>4185</v>
          </cell>
          <cell r="G1188" t="str">
            <v>Q7O5M3K1I</v>
          </cell>
        </row>
        <row r="1189">
          <cell r="A1189">
            <v>5296</v>
          </cell>
          <cell r="G1189" t="str">
            <v>3K1IZGXE</v>
          </cell>
        </row>
        <row r="1190">
          <cell r="A1190">
            <v>6307</v>
          </cell>
          <cell r="G1190" t="str">
            <v>GXEVCTAR8</v>
          </cell>
        </row>
        <row r="1191">
          <cell r="A1191">
            <v>7418</v>
          </cell>
          <cell r="G1191" t="str">
            <v>TAR8</v>
          </cell>
        </row>
        <row r="1192">
          <cell r="A1192">
            <v>8529</v>
          </cell>
          <cell r="G1192" t="str">
            <v>6N4L2J0HY</v>
          </cell>
        </row>
        <row r="1193">
          <cell r="A1193">
            <v>9630</v>
          </cell>
          <cell r="G1193" t="str">
            <v>J0HY</v>
          </cell>
        </row>
        <row r="1194">
          <cell r="A1194">
            <v>1741</v>
          </cell>
          <cell r="G1194" t="str">
            <v>WDUBS9Q7O</v>
          </cell>
        </row>
        <row r="1195">
          <cell r="A1195">
            <v>1852</v>
          </cell>
          <cell r="G1195" t="str">
            <v>9Q7O</v>
          </cell>
        </row>
        <row r="1196">
          <cell r="A1196">
            <v>2963</v>
          </cell>
          <cell r="G1196" t="str">
            <v>M3K1IZ</v>
          </cell>
        </row>
        <row r="1197">
          <cell r="A1197">
            <v>3074</v>
          </cell>
          <cell r="G1197" t="str">
            <v>ZGXE</v>
          </cell>
        </row>
        <row r="1198">
          <cell r="A1198">
            <v>4185</v>
          </cell>
          <cell r="G1198" t="str">
            <v>CTAR8P6N4</v>
          </cell>
        </row>
        <row r="1199">
          <cell r="A1199">
            <v>5296</v>
          </cell>
          <cell r="G1199" t="str">
            <v>P6N4L2J0HY</v>
          </cell>
        </row>
        <row r="1200">
          <cell r="A1200">
            <v>6307</v>
          </cell>
          <cell r="G1200" t="str">
            <v>2J0HYFWD</v>
          </cell>
        </row>
        <row r="1201">
          <cell r="A1201">
            <v>7418</v>
          </cell>
          <cell r="G1201" t="str">
            <v>FWDUBS</v>
          </cell>
        </row>
        <row r="1202">
          <cell r="A1202">
            <v>8529</v>
          </cell>
          <cell r="G1202" t="str">
            <v>S9Q7O5</v>
          </cell>
        </row>
        <row r="1203">
          <cell r="A1203">
            <v>9630</v>
          </cell>
          <cell r="G1203" t="str">
            <v>5M3K1I</v>
          </cell>
        </row>
        <row r="1204">
          <cell r="A1204">
            <v>1741</v>
          </cell>
          <cell r="G1204" t="str">
            <v>IZGXEVCTAR8P</v>
          </cell>
        </row>
        <row r="1205">
          <cell r="A1205">
            <v>1852</v>
          </cell>
          <cell r="G1205" t="str">
            <v>VCTAR8P6N4L2J</v>
          </cell>
        </row>
        <row r="1206">
          <cell r="A1206">
            <v>2963</v>
          </cell>
          <cell r="G1206" t="str">
            <v>8P6N4L</v>
          </cell>
        </row>
        <row r="1207">
          <cell r="A1207">
            <v>3074</v>
          </cell>
          <cell r="G1207" t="str">
            <v>L2J0HY</v>
          </cell>
        </row>
        <row r="1208">
          <cell r="A1208">
            <v>4185</v>
          </cell>
          <cell r="G1208" t="str">
            <v>YFWDUBS9</v>
          </cell>
        </row>
        <row r="1209">
          <cell r="A1209">
            <v>5296</v>
          </cell>
          <cell r="G1209" t="str">
            <v>BS9Q7O5M3</v>
          </cell>
        </row>
        <row r="1210">
          <cell r="A1210">
            <v>6307</v>
          </cell>
          <cell r="G1210" t="str">
            <v>O5M3K1IZG</v>
          </cell>
        </row>
        <row r="1211">
          <cell r="A1211">
            <v>7418</v>
          </cell>
          <cell r="G1211" t="str">
            <v>1IZGXEVCT</v>
          </cell>
        </row>
        <row r="1212">
          <cell r="A1212">
            <v>8529</v>
          </cell>
          <cell r="G1212" t="str">
            <v>EVCTAR8P6N</v>
          </cell>
        </row>
        <row r="1213">
          <cell r="A1213">
            <v>9630</v>
          </cell>
          <cell r="G1213" t="str">
            <v>R8P6N4L2J0</v>
          </cell>
        </row>
        <row r="1214">
          <cell r="A1214">
            <v>174185</v>
          </cell>
          <cell r="G1214" t="str">
            <v>4L2J0HYFW</v>
          </cell>
        </row>
        <row r="1215">
          <cell r="A1215">
            <v>1852</v>
          </cell>
          <cell r="G1215" t="str">
            <v>HYFWDU</v>
          </cell>
        </row>
        <row r="1216">
          <cell r="A1216">
            <v>2963</v>
          </cell>
          <cell r="G1216" t="str">
            <v>UBS9Q7</v>
          </cell>
        </row>
        <row r="1217">
          <cell r="A1217">
            <v>3074</v>
          </cell>
          <cell r="G1217" t="str">
            <v>7O5M3K</v>
          </cell>
        </row>
        <row r="1218">
          <cell r="A1218">
            <v>4185</v>
          </cell>
          <cell r="G1218" t="str">
            <v>K1IZGX</v>
          </cell>
        </row>
        <row r="1219">
          <cell r="A1219">
            <v>5296</v>
          </cell>
          <cell r="G1219" t="str">
            <v>XEVCTAR</v>
          </cell>
        </row>
        <row r="1220">
          <cell r="A1220">
            <v>6307</v>
          </cell>
          <cell r="G1220" t="str">
            <v>AR8P6N4L2</v>
          </cell>
        </row>
        <row r="1221">
          <cell r="A1221">
            <v>7418</v>
          </cell>
          <cell r="G1221" t="str">
            <v>N4L2J0HYFW</v>
          </cell>
        </row>
        <row r="1222">
          <cell r="A1222">
            <v>8529</v>
          </cell>
          <cell r="G1222" t="str">
            <v>0HYFWDUBS9</v>
          </cell>
        </row>
        <row r="1223">
          <cell r="A1223">
            <v>9630</v>
          </cell>
          <cell r="G1223" t="str">
            <v>DUBS9Q7O5M</v>
          </cell>
        </row>
        <row r="1224">
          <cell r="A1224">
            <v>1741</v>
          </cell>
          <cell r="G1224" t="str">
            <v>Q7O5M3K1I</v>
          </cell>
        </row>
        <row r="1225">
          <cell r="A1225">
            <v>1852</v>
          </cell>
          <cell r="G1225" t="str">
            <v>3K1IZGXEV</v>
          </cell>
        </row>
        <row r="1226">
          <cell r="A1226">
            <v>2963</v>
          </cell>
          <cell r="G1226" t="str">
            <v>GXEVCTAR</v>
          </cell>
        </row>
        <row r="1227">
          <cell r="A1227">
            <v>307418</v>
          </cell>
          <cell r="G1227" t="str">
            <v>TAR8P6N4L2J0H</v>
          </cell>
        </row>
        <row r="1228">
          <cell r="A1228">
            <v>418529</v>
          </cell>
          <cell r="G1228" t="str">
            <v>6N4L2J0</v>
          </cell>
        </row>
        <row r="1229">
          <cell r="A1229">
            <v>5296</v>
          </cell>
          <cell r="G1229" t="str">
            <v>J0HYFWD</v>
          </cell>
        </row>
        <row r="1230">
          <cell r="A1230">
            <v>6307</v>
          </cell>
          <cell r="G1230" t="str">
            <v>WDUBS9Q</v>
          </cell>
        </row>
        <row r="1231">
          <cell r="A1231">
            <v>7418</v>
          </cell>
          <cell r="G1231" t="str">
            <v>9Q7O5M3</v>
          </cell>
        </row>
        <row r="1232">
          <cell r="A1232">
            <v>8529</v>
          </cell>
          <cell r="G1232" t="str">
            <v>M3K1IZGXEVCT</v>
          </cell>
        </row>
        <row r="1233">
          <cell r="A1233">
            <v>9630</v>
          </cell>
          <cell r="G1233" t="str">
            <v>ZGXEVCTAR8P6N</v>
          </cell>
        </row>
        <row r="1234">
          <cell r="A1234">
            <v>1741</v>
          </cell>
          <cell r="G1234" t="str">
            <v>CTAR8P6N4L</v>
          </cell>
        </row>
        <row r="1235">
          <cell r="A1235">
            <v>1852</v>
          </cell>
          <cell r="G1235" t="str">
            <v>P6N4L2J</v>
          </cell>
        </row>
        <row r="1236">
          <cell r="A1236">
            <v>2963</v>
          </cell>
          <cell r="G1236" t="str">
            <v>2J0HYFW</v>
          </cell>
        </row>
        <row r="1237">
          <cell r="A1237">
            <v>3074</v>
          </cell>
          <cell r="G1237" t="str">
            <v>FWDUBS9</v>
          </cell>
        </row>
        <row r="1238">
          <cell r="A1238">
            <v>4185</v>
          </cell>
          <cell r="G1238" t="str">
            <v>S9Q7O5M</v>
          </cell>
        </row>
        <row r="1239">
          <cell r="A1239">
            <v>5296</v>
          </cell>
          <cell r="G1239" t="str">
            <v>5M3K1IZ</v>
          </cell>
        </row>
        <row r="1240">
          <cell r="A1240">
            <v>6307</v>
          </cell>
          <cell r="G1240" t="str">
            <v>IZGXEVC</v>
          </cell>
        </row>
        <row r="1241">
          <cell r="A1241">
            <v>7418</v>
          </cell>
          <cell r="G1241" t="str">
            <v>VCTAR8P</v>
          </cell>
        </row>
        <row r="1242">
          <cell r="A1242">
            <v>8529</v>
          </cell>
          <cell r="G1242" t="str">
            <v>8P6N4L2J0HYF</v>
          </cell>
        </row>
        <row r="1243">
          <cell r="A1243">
            <v>9630</v>
          </cell>
          <cell r="G1243" t="str">
            <v>L2J0HYFWDUBS9</v>
          </cell>
        </row>
        <row r="1244">
          <cell r="A1244">
            <v>1741</v>
          </cell>
          <cell r="G1244" t="str">
            <v>YFWDUBS9Q7O5</v>
          </cell>
        </row>
        <row r="1245">
          <cell r="A1245">
            <v>1852</v>
          </cell>
          <cell r="G1245" t="str">
            <v>BS9Q7O5</v>
          </cell>
        </row>
        <row r="1246">
          <cell r="A1246">
            <v>2963</v>
          </cell>
          <cell r="G1246" t="str">
            <v>O5M3K1I</v>
          </cell>
        </row>
        <row r="1247">
          <cell r="A1247">
            <v>3074</v>
          </cell>
          <cell r="G1247" t="str">
            <v>1IZGXEV</v>
          </cell>
        </row>
        <row r="1248">
          <cell r="A1248">
            <v>4185</v>
          </cell>
          <cell r="G1248" t="str">
            <v>EVCTAR8</v>
          </cell>
        </row>
        <row r="1249">
          <cell r="A1249">
            <v>5296</v>
          </cell>
          <cell r="G1249" t="str">
            <v>R8P6N4L</v>
          </cell>
        </row>
        <row r="1250">
          <cell r="A1250">
            <v>6307</v>
          </cell>
          <cell r="G1250" t="str">
            <v>4L2J0HY</v>
          </cell>
        </row>
        <row r="1251">
          <cell r="A1251">
            <v>7418</v>
          </cell>
          <cell r="G1251" t="str">
            <v>HYFWDUB</v>
          </cell>
        </row>
        <row r="1252">
          <cell r="A1252">
            <v>8529</v>
          </cell>
          <cell r="G1252" t="str">
            <v>UBS9Q7O</v>
          </cell>
        </row>
        <row r="1253">
          <cell r="A1253">
            <v>9630</v>
          </cell>
          <cell r="G1253" t="str">
            <v>7O5M3K1IZGXE</v>
          </cell>
        </row>
        <row r="1254">
          <cell r="A1254">
            <v>1741</v>
          </cell>
          <cell r="G1254" t="str">
            <v>K1IZGXEVCTAR8</v>
          </cell>
        </row>
        <row r="1255">
          <cell r="A1255">
            <v>1852</v>
          </cell>
          <cell r="G1255" t="str">
            <v>XEVCTAR8P6N4</v>
          </cell>
        </row>
        <row r="1256">
          <cell r="A1256">
            <v>2963</v>
          </cell>
          <cell r="G1256" t="str">
            <v>AR8P6N4</v>
          </cell>
        </row>
        <row r="1257">
          <cell r="A1257">
            <v>3074</v>
          </cell>
          <cell r="G1257" t="str">
            <v>N4L2J0H</v>
          </cell>
        </row>
        <row r="1258">
          <cell r="A1258">
            <v>4185</v>
          </cell>
          <cell r="G1258" t="str">
            <v>0HYFWDU</v>
          </cell>
        </row>
        <row r="1259">
          <cell r="A1259">
            <v>5296</v>
          </cell>
          <cell r="G1259" t="str">
            <v>DUBS9Q7</v>
          </cell>
        </row>
        <row r="1260">
          <cell r="A1260">
            <v>6307</v>
          </cell>
          <cell r="G1260" t="str">
            <v>Q7O5M3K</v>
          </cell>
        </row>
        <row r="1261">
          <cell r="A1261">
            <v>7418</v>
          </cell>
          <cell r="G1261" t="str">
            <v>3K1IZGX</v>
          </cell>
        </row>
        <row r="1262">
          <cell r="A1262">
            <v>8529</v>
          </cell>
          <cell r="G1262" t="str">
            <v>GXEVCTA</v>
          </cell>
        </row>
        <row r="1263">
          <cell r="A1263">
            <v>9630</v>
          </cell>
          <cell r="G1263" t="str">
            <v>TAR8P6N</v>
          </cell>
        </row>
        <row r="1264">
          <cell r="A1264">
            <v>1741</v>
          </cell>
          <cell r="G1264" t="str">
            <v>6N4L2J0HYFWDU</v>
          </cell>
        </row>
        <row r="1265">
          <cell r="A1265">
            <v>1852</v>
          </cell>
          <cell r="G1265" t="str">
            <v>J0HYFWDUBS9Q7O</v>
          </cell>
        </row>
        <row r="1266">
          <cell r="A1266">
            <v>2963</v>
          </cell>
          <cell r="G1266" t="str">
            <v>WDUBS9Q7O5M3K</v>
          </cell>
        </row>
        <row r="1267">
          <cell r="A1267">
            <v>3074</v>
          </cell>
          <cell r="G1267" t="str">
            <v>9Q7O5M3</v>
          </cell>
        </row>
        <row r="1268">
          <cell r="A1268">
            <v>4185</v>
          </cell>
          <cell r="G1268" t="str">
            <v>M3K1IZG</v>
          </cell>
        </row>
        <row r="1269">
          <cell r="A1269">
            <v>5296</v>
          </cell>
          <cell r="G1269" t="str">
            <v>ZGXEVCT</v>
          </cell>
        </row>
        <row r="1270">
          <cell r="A1270">
            <v>6307</v>
          </cell>
          <cell r="G1270" t="str">
            <v>CTAR8P6</v>
          </cell>
        </row>
        <row r="1271">
          <cell r="A1271">
            <v>741852</v>
          </cell>
          <cell r="G1271" t="str">
            <v>P6N4L2J</v>
          </cell>
        </row>
        <row r="1272">
          <cell r="A1272">
            <v>8529</v>
          </cell>
          <cell r="G1272" t="str">
            <v>2J0H</v>
          </cell>
        </row>
        <row r="1273">
          <cell r="A1273">
            <v>9630</v>
          </cell>
          <cell r="G1273" t="str">
            <v>FWDUBS9Q7</v>
          </cell>
        </row>
        <row r="1274">
          <cell r="A1274">
            <v>1741</v>
          </cell>
          <cell r="G1274" t="str">
            <v>S9Q7O5M3</v>
          </cell>
        </row>
        <row r="1275">
          <cell r="A1275">
            <v>1852</v>
          </cell>
          <cell r="G1275" t="str">
            <v>5M3K1IZ</v>
          </cell>
        </row>
        <row r="1276">
          <cell r="A1276">
            <v>2963</v>
          </cell>
          <cell r="G1276" t="str">
            <v>IZGX</v>
          </cell>
        </row>
        <row r="1277">
          <cell r="A1277">
            <v>3074</v>
          </cell>
          <cell r="G1277" t="str">
            <v>VCTAR8P6N</v>
          </cell>
        </row>
        <row r="1278">
          <cell r="A1278">
            <v>4185</v>
          </cell>
          <cell r="G1278" t="str">
            <v>8P6N</v>
          </cell>
        </row>
        <row r="1279">
          <cell r="A1279">
            <v>5296</v>
          </cell>
          <cell r="G1279" t="str">
            <v>L2J0HYFWD</v>
          </cell>
        </row>
        <row r="1280">
          <cell r="A1280">
            <v>6307</v>
          </cell>
          <cell r="G1280" t="str">
            <v>YFWD</v>
          </cell>
        </row>
        <row r="1281">
          <cell r="A1281">
            <v>7418</v>
          </cell>
          <cell r="G1281" t="str">
            <v>BS9Q7O5M3</v>
          </cell>
        </row>
        <row r="1282">
          <cell r="A1282">
            <v>8529</v>
          </cell>
          <cell r="G1282" t="str">
            <v>O5M3K1IZ</v>
          </cell>
        </row>
        <row r="1283">
          <cell r="A1283">
            <v>9630</v>
          </cell>
          <cell r="G1283" t="str">
            <v>1IZGXEVCT</v>
          </cell>
        </row>
        <row r="1284">
          <cell r="A1284">
            <v>1741</v>
          </cell>
          <cell r="G1284" t="str">
            <v>EVCT</v>
          </cell>
        </row>
        <row r="1285">
          <cell r="A1285">
            <v>1852</v>
          </cell>
          <cell r="G1285" t="str">
            <v>R8P6N4L2J</v>
          </cell>
        </row>
        <row r="1286">
          <cell r="A1286">
            <v>2963</v>
          </cell>
          <cell r="G1286" t="str">
            <v>4L2J</v>
          </cell>
        </row>
        <row r="1287">
          <cell r="A1287">
            <v>3074</v>
          </cell>
          <cell r="G1287" t="str">
            <v>HYFWDUBS9</v>
          </cell>
        </row>
        <row r="1288">
          <cell r="A1288">
            <v>4185</v>
          </cell>
          <cell r="G1288" t="str">
            <v>UBS9</v>
          </cell>
        </row>
        <row r="1289">
          <cell r="A1289">
            <v>5296</v>
          </cell>
          <cell r="G1289" t="str">
            <v>7O5M3K1I</v>
          </cell>
        </row>
        <row r="1290">
          <cell r="A1290">
            <v>6307</v>
          </cell>
          <cell r="G1290" t="str">
            <v>K1IZ</v>
          </cell>
        </row>
        <row r="1291">
          <cell r="A1291">
            <v>7418</v>
          </cell>
          <cell r="G1291" t="str">
            <v>XEVCTAR8P</v>
          </cell>
        </row>
        <row r="1292">
          <cell r="A1292">
            <v>8529</v>
          </cell>
          <cell r="G1292" t="str">
            <v>AR8P</v>
          </cell>
        </row>
        <row r="1293">
          <cell r="A1293">
            <v>9630</v>
          </cell>
          <cell r="G1293" t="str">
            <v>N4L2J0</v>
          </cell>
        </row>
        <row r="1294">
          <cell r="A1294">
            <v>1741</v>
          </cell>
          <cell r="G1294" t="str">
            <v>0HYF</v>
          </cell>
        </row>
        <row r="1295">
          <cell r="A1295">
            <v>1852</v>
          </cell>
          <cell r="G1295" t="str">
            <v>DUBS9Q7O5</v>
          </cell>
        </row>
        <row r="1296">
          <cell r="A1296">
            <v>2963</v>
          </cell>
          <cell r="G1296" t="str">
            <v>Q7O5M3K1IZ</v>
          </cell>
        </row>
        <row r="1297">
          <cell r="A1297">
            <v>3074</v>
          </cell>
          <cell r="G1297" t="str">
            <v>3K1IZGXE</v>
          </cell>
        </row>
        <row r="1298">
          <cell r="A1298">
            <v>4185</v>
          </cell>
          <cell r="G1298" t="str">
            <v>GXEVCT</v>
          </cell>
        </row>
        <row r="1299">
          <cell r="A1299">
            <v>5296</v>
          </cell>
          <cell r="G1299" t="str">
            <v>TAR8P6</v>
          </cell>
        </row>
        <row r="1300">
          <cell r="A1300">
            <v>6307</v>
          </cell>
          <cell r="G1300" t="str">
            <v>6N4L2J</v>
          </cell>
        </row>
        <row r="1301">
          <cell r="A1301">
            <v>7418</v>
          </cell>
          <cell r="G1301" t="str">
            <v>J0HYFWDUBS</v>
          </cell>
        </row>
        <row r="1302">
          <cell r="A1302">
            <v>8529</v>
          </cell>
          <cell r="G1302" t="str">
            <v>WDUBS9Q7O5M3K</v>
          </cell>
        </row>
        <row r="1303">
          <cell r="A1303">
            <v>9630</v>
          </cell>
          <cell r="G1303" t="str">
            <v>9Q7O5M</v>
          </cell>
        </row>
        <row r="1304">
          <cell r="A1304">
            <v>1741</v>
          </cell>
          <cell r="G1304" t="str">
            <v>M3K1IZ</v>
          </cell>
        </row>
        <row r="1305">
          <cell r="A1305">
            <v>1852</v>
          </cell>
          <cell r="G1305" t="str">
            <v>ZGXEVCTA</v>
          </cell>
        </row>
        <row r="1306">
          <cell r="A1306">
            <v>2963</v>
          </cell>
          <cell r="G1306" t="str">
            <v>CTAR8P6N4</v>
          </cell>
        </row>
        <row r="1307">
          <cell r="A1307">
            <v>3074</v>
          </cell>
          <cell r="G1307" t="str">
            <v>P6N4L2J0H</v>
          </cell>
        </row>
        <row r="1308">
          <cell r="A1308">
            <v>4185</v>
          </cell>
          <cell r="G1308" t="str">
            <v>2J0HYFWDU</v>
          </cell>
        </row>
        <row r="1309">
          <cell r="A1309">
            <v>5296</v>
          </cell>
          <cell r="G1309" t="str">
            <v>FWDUBS9Q7O</v>
          </cell>
        </row>
        <row r="1310">
          <cell r="A1310">
            <v>6307</v>
          </cell>
          <cell r="G1310" t="str">
            <v>S9Q7O5M3K1</v>
          </cell>
        </row>
        <row r="1311">
          <cell r="A1311">
            <v>741852</v>
          </cell>
          <cell r="G1311" t="str">
            <v>5M3K1IZGXE</v>
          </cell>
        </row>
        <row r="1312">
          <cell r="A1312">
            <v>8529</v>
          </cell>
          <cell r="G1312" t="str">
            <v>IZGXEV</v>
          </cell>
        </row>
        <row r="1313">
          <cell r="A1313">
            <v>9630</v>
          </cell>
          <cell r="G1313" t="str">
            <v>VCTAR8</v>
          </cell>
        </row>
        <row r="1314">
          <cell r="A1314">
            <v>1741</v>
          </cell>
          <cell r="G1314" t="str">
            <v>8P6N4L</v>
          </cell>
        </row>
        <row r="1315">
          <cell r="A1315">
            <v>1852</v>
          </cell>
          <cell r="G1315" t="str">
            <v>L2J0HY</v>
          </cell>
        </row>
        <row r="1316">
          <cell r="A1316">
            <v>2963</v>
          </cell>
          <cell r="G1316" t="str">
            <v>YFWDUBS</v>
          </cell>
        </row>
        <row r="1317">
          <cell r="A1317">
            <v>3074</v>
          </cell>
          <cell r="G1317" t="str">
            <v>BS9Q7O5M3</v>
          </cell>
        </row>
        <row r="1318">
          <cell r="A1318">
            <v>4185</v>
          </cell>
          <cell r="G1318" t="str">
            <v>O5M3K1IZGX</v>
          </cell>
        </row>
        <row r="1319">
          <cell r="A1319">
            <v>5296</v>
          </cell>
          <cell r="G1319" t="str">
            <v>1IZGXEVCTA</v>
          </cell>
        </row>
        <row r="1320">
          <cell r="A1320">
            <v>6307</v>
          </cell>
          <cell r="G1320" t="str">
            <v>EVCTAR8P6N</v>
          </cell>
        </row>
        <row r="1321">
          <cell r="A1321">
            <v>7418</v>
          </cell>
          <cell r="G1321" t="str">
            <v>R8P6N4L2J</v>
          </cell>
        </row>
        <row r="1322">
          <cell r="A1322">
            <v>8529</v>
          </cell>
          <cell r="G1322" t="str">
            <v>4L2J0HYFW</v>
          </cell>
        </row>
        <row r="1323">
          <cell r="A1323">
            <v>9630</v>
          </cell>
          <cell r="G1323" t="str">
            <v>HYFWDUBS</v>
          </cell>
        </row>
        <row r="1324">
          <cell r="A1324">
            <v>174185</v>
          </cell>
          <cell r="G1324" t="str">
            <v>UBS9Q7O5M3K1I</v>
          </cell>
        </row>
        <row r="1325">
          <cell r="A1325">
            <v>185296</v>
          </cell>
          <cell r="G1325" t="str">
            <v>7O5M3K1</v>
          </cell>
        </row>
        <row r="1326">
          <cell r="A1326">
            <v>2963</v>
          </cell>
          <cell r="G1326" t="str">
            <v>K1IZGXE</v>
          </cell>
        </row>
        <row r="1327">
          <cell r="A1327">
            <v>3074</v>
          </cell>
          <cell r="G1327" t="str">
            <v>XEVCTAR</v>
          </cell>
        </row>
        <row r="1328">
          <cell r="A1328">
            <v>4185</v>
          </cell>
          <cell r="G1328" t="str">
            <v>AR8P6N4</v>
          </cell>
        </row>
        <row r="1329">
          <cell r="A1329">
            <v>5296</v>
          </cell>
          <cell r="G1329" t="str">
            <v>N4L2J0HYFW</v>
          </cell>
        </row>
        <row r="1330">
          <cell r="A1330">
            <v>6307</v>
          </cell>
          <cell r="G1330" t="str">
            <v>0HYFWDUBS9Q7O</v>
          </cell>
        </row>
        <row r="1331">
          <cell r="A1331">
            <v>7418</v>
          </cell>
          <cell r="G1331" t="str">
            <v>DUBS9Q7O5M</v>
          </cell>
        </row>
        <row r="1332">
          <cell r="A1332">
            <v>8529</v>
          </cell>
          <cell r="G1332" t="str">
            <v>Q7O5M3K</v>
          </cell>
        </row>
        <row r="1333">
          <cell r="A1333">
            <v>9630</v>
          </cell>
          <cell r="G1333" t="str">
            <v>3K1IZGX</v>
          </cell>
        </row>
        <row r="1334">
          <cell r="A1334">
            <v>1741</v>
          </cell>
          <cell r="G1334" t="str">
            <v>GXEVCTA</v>
          </cell>
        </row>
        <row r="1335">
          <cell r="A1335">
            <v>1852</v>
          </cell>
          <cell r="G1335" t="str">
            <v>TAR8P6N</v>
          </cell>
        </row>
        <row r="1336">
          <cell r="A1336">
            <v>2963</v>
          </cell>
          <cell r="G1336" t="str">
            <v>6N4L2J0</v>
          </cell>
        </row>
        <row r="1337">
          <cell r="A1337">
            <v>3074</v>
          </cell>
          <cell r="G1337" t="str">
            <v>J0HYFWD</v>
          </cell>
        </row>
        <row r="1338">
          <cell r="A1338">
            <v>4185</v>
          </cell>
          <cell r="G1338" t="str">
            <v>WDUBS9Q</v>
          </cell>
        </row>
        <row r="1339">
          <cell r="A1339">
            <v>5296</v>
          </cell>
          <cell r="G1339" t="str">
            <v>9Q7O5M3K1I</v>
          </cell>
        </row>
        <row r="1340">
          <cell r="A1340">
            <v>6307</v>
          </cell>
          <cell r="G1340" t="str">
            <v>M3K1IZGXEVCTA</v>
          </cell>
        </row>
        <row r="1341">
          <cell r="A1341">
            <v>7418</v>
          </cell>
          <cell r="G1341" t="str">
            <v>ZGXEVCTAR8P6</v>
          </cell>
        </row>
        <row r="1342">
          <cell r="A1342">
            <v>8529</v>
          </cell>
          <cell r="G1342" t="str">
            <v>CTAR8P6</v>
          </cell>
        </row>
        <row r="1343">
          <cell r="A1343">
            <v>9630</v>
          </cell>
          <cell r="G1343" t="str">
            <v>P6N4L2J</v>
          </cell>
        </row>
        <row r="1344">
          <cell r="A1344">
            <v>1741</v>
          </cell>
          <cell r="G1344" t="str">
            <v>2J0HYFW</v>
          </cell>
        </row>
        <row r="1345">
          <cell r="A1345">
            <v>1852</v>
          </cell>
          <cell r="G1345" t="str">
            <v>FWDUBS9</v>
          </cell>
        </row>
        <row r="1346">
          <cell r="A1346">
            <v>2963</v>
          </cell>
          <cell r="G1346" t="str">
            <v>S9Q7O5M</v>
          </cell>
        </row>
        <row r="1347">
          <cell r="A1347">
            <v>3074</v>
          </cell>
          <cell r="G1347" t="str">
            <v>5M3K1IZ</v>
          </cell>
        </row>
        <row r="1348">
          <cell r="A1348">
            <v>4185</v>
          </cell>
          <cell r="G1348" t="str">
            <v>IZGXEVC</v>
          </cell>
        </row>
        <row r="1349">
          <cell r="A1349">
            <v>5296</v>
          </cell>
          <cell r="G1349" t="str">
            <v>VCTAR8P</v>
          </cell>
        </row>
        <row r="1350">
          <cell r="A1350">
            <v>6307</v>
          </cell>
          <cell r="G1350" t="str">
            <v>8P6N4L2J0H</v>
          </cell>
        </row>
        <row r="1351">
          <cell r="A1351">
            <v>7418</v>
          </cell>
          <cell r="G1351" t="str">
            <v>L2J0HYFWDUBS9</v>
          </cell>
        </row>
        <row r="1352">
          <cell r="A1352">
            <v>8529</v>
          </cell>
          <cell r="G1352" t="str">
            <v>YFWDUBS9Q7O5</v>
          </cell>
        </row>
        <row r="1353">
          <cell r="A1353">
            <v>9630</v>
          </cell>
          <cell r="G1353" t="str">
            <v>BS9Q7O5</v>
          </cell>
        </row>
        <row r="1354">
          <cell r="A1354">
            <v>1741</v>
          </cell>
          <cell r="G1354" t="str">
            <v>O5M3K1I</v>
          </cell>
        </row>
        <row r="1355">
          <cell r="A1355">
            <v>1852</v>
          </cell>
          <cell r="G1355" t="str">
            <v>1IZGXEV</v>
          </cell>
        </row>
        <row r="1356">
          <cell r="A1356">
            <v>2963</v>
          </cell>
          <cell r="G1356" t="str">
            <v>EVCTAR8</v>
          </cell>
        </row>
        <row r="1357">
          <cell r="A1357">
            <v>3074</v>
          </cell>
          <cell r="G1357" t="str">
            <v>R8P6N4L</v>
          </cell>
        </row>
        <row r="1358">
          <cell r="A1358">
            <v>4185</v>
          </cell>
          <cell r="G1358" t="str">
            <v>4L2J0HY</v>
          </cell>
        </row>
        <row r="1359">
          <cell r="A1359">
            <v>5296</v>
          </cell>
          <cell r="G1359" t="str">
            <v>HYFWDUB</v>
          </cell>
        </row>
        <row r="1360">
          <cell r="A1360">
            <v>6307</v>
          </cell>
          <cell r="G1360" t="str">
            <v>UBS9Q7O</v>
          </cell>
        </row>
        <row r="1361">
          <cell r="A1361">
            <v>7418</v>
          </cell>
          <cell r="G1361" t="str">
            <v>7O5M3K1IZGX</v>
          </cell>
        </row>
        <row r="1362">
          <cell r="A1362">
            <v>8529</v>
          </cell>
          <cell r="G1362" t="str">
            <v>K1IZGXEVCTAR8P</v>
          </cell>
        </row>
        <row r="1363">
          <cell r="A1363">
            <v>9630</v>
          </cell>
          <cell r="G1363" t="str">
            <v>XEVCTAR8P6N</v>
          </cell>
        </row>
        <row r="1364">
          <cell r="A1364">
            <v>1741</v>
          </cell>
          <cell r="G1364" t="str">
            <v>AR8P6N4</v>
          </cell>
        </row>
        <row r="1365">
          <cell r="A1365">
            <v>1852</v>
          </cell>
          <cell r="G1365" t="str">
            <v>N4L2J0H</v>
          </cell>
        </row>
        <row r="1366">
          <cell r="A1366">
            <v>2963</v>
          </cell>
          <cell r="G1366" t="str">
            <v>0HYFWDU</v>
          </cell>
        </row>
        <row r="1367">
          <cell r="A1367">
            <v>3074</v>
          </cell>
          <cell r="G1367" t="str">
            <v>DUBS9Q7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Sheet2"/>
      <sheetName val="Sheet3"/>
      <sheetName val="Sheet4"/>
    </sheetNames>
    <sheetDataSet>
      <sheetData sheetId="0"/>
      <sheetData sheetId="1">
        <row r="1">
          <cell r="A1" t="str">
            <v>AR</v>
          </cell>
          <cell r="E1" t="str">
            <v>N4L2</v>
          </cell>
          <cell r="F1" t="str">
            <v>0HYF</v>
          </cell>
        </row>
        <row r="2">
          <cell r="A2" t="str">
            <v>DUB</v>
          </cell>
          <cell r="E2" t="str">
            <v>Q7O</v>
          </cell>
          <cell r="F2" t="str">
            <v>3K1IZGXE</v>
          </cell>
        </row>
        <row r="3">
          <cell r="A3" t="str">
            <v>GX</v>
          </cell>
        </row>
        <row r="4">
          <cell r="A4" t="str">
            <v>TAR</v>
          </cell>
          <cell r="E4" t="str">
            <v>6</v>
          </cell>
          <cell r="F4" t="str">
            <v>J</v>
          </cell>
        </row>
        <row r="5">
          <cell r="A5" t="str">
            <v>WDU</v>
          </cell>
          <cell r="E5" t="str">
            <v>9Q7O</v>
          </cell>
          <cell r="F5" t="str">
            <v>M3K1</v>
          </cell>
        </row>
        <row r="6">
          <cell r="A6">
            <v>3074</v>
          </cell>
          <cell r="E6">
            <v>4</v>
          </cell>
          <cell r="F6" t="str">
            <v>ZGXE</v>
          </cell>
        </row>
        <row r="7">
          <cell r="A7">
            <v>5296</v>
          </cell>
          <cell r="E7">
            <v>6</v>
          </cell>
          <cell r="F7" t="str">
            <v>CTAR</v>
          </cell>
        </row>
        <row r="8">
          <cell r="A8">
            <v>7418</v>
          </cell>
          <cell r="E8">
            <v>8</v>
          </cell>
          <cell r="F8" t="str">
            <v>P6N4</v>
          </cell>
        </row>
        <row r="9">
          <cell r="A9">
            <v>9630</v>
          </cell>
          <cell r="E9">
            <v>1</v>
          </cell>
          <cell r="F9" t="str">
            <v>2J0H</v>
          </cell>
        </row>
        <row r="10">
          <cell r="A10">
            <v>185296</v>
          </cell>
          <cell r="E10">
            <v>2</v>
          </cell>
          <cell r="F10" t="str">
            <v>FWDU</v>
          </cell>
        </row>
        <row r="11">
          <cell r="A11">
            <v>307418</v>
          </cell>
          <cell r="E11">
            <v>4</v>
          </cell>
          <cell r="F11" t="str">
            <v>S9Q7</v>
          </cell>
        </row>
        <row r="12">
          <cell r="A12">
            <v>529630</v>
          </cell>
          <cell r="E12">
            <v>6</v>
          </cell>
          <cell r="F12" t="str">
            <v>5M3K</v>
          </cell>
        </row>
        <row r="13">
          <cell r="A13">
            <v>741852</v>
          </cell>
          <cell r="E13">
            <v>8</v>
          </cell>
          <cell r="F13" t="str">
            <v>IZGX</v>
          </cell>
        </row>
        <row r="14">
          <cell r="A14">
            <v>963074</v>
          </cell>
          <cell r="E14">
            <v>1</v>
          </cell>
          <cell r="F14" t="str">
            <v>VCTA</v>
          </cell>
        </row>
        <row r="15">
          <cell r="A15">
            <v>185296</v>
          </cell>
          <cell r="E15">
            <v>29</v>
          </cell>
          <cell r="F15" t="str">
            <v>8P6N</v>
          </cell>
        </row>
        <row r="16">
          <cell r="A16">
            <v>307418</v>
          </cell>
          <cell r="E16">
            <v>41</v>
          </cell>
          <cell r="F16" t="str">
            <v>L2J0</v>
          </cell>
        </row>
        <row r="17">
          <cell r="A17">
            <v>5296</v>
          </cell>
          <cell r="E17">
            <v>63</v>
          </cell>
          <cell r="F17" t="str">
            <v>YFWD</v>
          </cell>
        </row>
        <row r="18">
          <cell r="A18">
            <v>741852</v>
          </cell>
          <cell r="E18">
            <v>85</v>
          </cell>
          <cell r="F18" t="str">
            <v>BS9Q</v>
          </cell>
        </row>
        <row r="19">
          <cell r="A19">
            <v>9630</v>
          </cell>
          <cell r="E19">
            <v>17</v>
          </cell>
          <cell r="F19" t="str">
            <v>O5M3</v>
          </cell>
        </row>
        <row r="20">
          <cell r="A20">
            <v>1852</v>
          </cell>
          <cell r="E20">
            <v>29</v>
          </cell>
          <cell r="F20" t="str">
            <v>1IZG</v>
          </cell>
        </row>
        <row r="21">
          <cell r="A21">
            <v>3074</v>
          </cell>
          <cell r="E21">
            <v>41</v>
          </cell>
          <cell r="F21" t="str">
            <v>EVCT</v>
          </cell>
        </row>
        <row r="22">
          <cell r="A22">
            <v>5296</v>
          </cell>
          <cell r="E22">
            <v>63</v>
          </cell>
          <cell r="F22" t="str">
            <v>R8P6</v>
          </cell>
        </row>
        <row r="23">
          <cell r="A23">
            <v>7418</v>
          </cell>
          <cell r="E23">
            <v>85</v>
          </cell>
          <cell r="F23" t="str">
            <v>4L2J</v>
          </cell>
        </row>
        <row r="24">
          <cell r="A24">
            <v>9630</v>
          </cell>
          <cell r="E24">
            <v>17</v>
          </cell>
          <cell r="F24" t="str">
            <v>HYFW</v>
          </cell>
        </row>
        <row r="25">
          <cell r="A25">
            <v>185296</v>
          </cell>
          <cell r="E25">
            <v>29</v>
          </cell>
          <cell r="F25" t="str">
            <v>UBS9</v>
          </cell>
        </row>
        <row r="26">
          <cell r="A26">
            <v>307418</v>
          </cell>
          <cell r="E26">
            <v>41</v>
          </cell>
          <cell r="F26" t="str">
            <v>7O5M</v>
          </cell>
        </row>
        <row r="27">
          <cell r="A27">
            <v>5296</v>
          </cell>
          <cell r="E27">
            <v>63</v>
          </cell>
          <cell r="F27" t="str">
            <v>K1IZ</v>
          </cell>
        </row>
        <row r="28">
          <cell r="A28">
            <v>741852</v>
          </cell>
          <cell r="E28">
            <v>85</v>
          </cell>
          <cell r="F28" t="str">
            <v>XEVC</v>
          </cell>
        </row>
        <row r="29">
          <cell r="A29">
            <v>963074</v>
          </cell>
          <cell r="E29">
            <v>17</v>
          </cell>
          <cell r="F29" t="str">
            <v>AR8P</v>
          </cell>
        </row>
        <row r="30">
          <cell r="A30">
            <v>1852</v>
          </cell>
          <cell r="E30">
            <v>29</v>
          </cell>
          <cell r="F30" t="str">
            <v>N4L2</v>
          </cell>
        </row>
        <row r="31">
          <cell r="A31">
            <v>3074</v>
          </cell>
          <cell r="E31">
            <v>41</v>
          </cell>
          <cell r="F31" t="str">
            <v>0HYF</v>
          </cell>
        </row>
        <row r="32">
          <cell r="A32">
            <v>5296</v>
          </cell>
          <cell r="E32">
            <v>63</v>
          </cell>
          <cell r="F32" t="str">
            <v>DUBS</v>
          </cell>
        </row>
        <row r="33">
          <cell r="A33">
            <v>741852</v>
          </cell>
          <cell r="E33">
            <v>85</v>
          </cell>
          <cell r="F33" t="str">
            <v>Q7O5</v>
          </cell>
        </row>
        <row r="34">
          <cell r="A34">
            <v>9630</v>
          </cell>
          <cell r="E34">
            <v>17</v>
          </cell>
          <cell r="F34" t="str">
            <v>3K1I</v>
          </cell>
        </row>
        <row r="35">
          <cell r="A35">
            <v>185296</v>
          </cell>
          <cell r="E35">
            <v>29</v>
          </cell>
          <cell r="F35" t="str">
            <v>GXEV</v>
          </cell>
        </row>
        <row r="36">
          <cell r="A36">
            <v>3074</v>
          </cell>
          <cell r="E36">
            <v>41</v>
          </cell>
          <cell r="F36" t="str">
            <v>TAR8</v>
          </cell>
        </row>
        <row r="37">
          <cell r="A37">
            <v>5296</v>
          </cell>
          <cell r="E37">
            <v>63</v>
          </cell>
          <cell r="F37" t="str">
            <v>6N4L</v>
          </cell>
        </row>
        <row r="38">
          <cell r="A38">
            <v>7418</v>
          </cell>
          <cell r="E38">
            <v>85</v>
          </cell>
          <cell r="F38" t="str">
            <v>J0HY</v>
          </cell>
        </row>
        <row r="39">
          <cell r="A39">
            <v>9630</v>
          </cell>
          <cell r="E39">
            <v>17</v>
          </cell>
          <cell r="F39" t="str">
            <v>WDUB</v>
          </cell>
        </row>
        <row r="40">
          <cell r="A40">
            <v>1852</v>
          </cell>
          <cell r="E40">
            <v>29</v>
          </cell>
          <cell r="F40" t="str">
            <v>9Q7O</v>
          </cell>
        </row>
        <row r="41">
          <cell r="A41">
            <v>3074</v>
          </cell>
          <cell r="E41">
            <v>41</v>
          </cell>
          <cell r="F41" t="str">
            <v>M3K1</v>
          </cell>
        </row>
        <row r="42">
          <cell r="A42">
            <v>5296</v>
          </cell>
          <cell r="E42">
            <v>63</v>
          </cell>
          <cell r="F42" t="str">
            <v>ZGXE</v>
          </cell>
        </row>
        <row r="43">
          <cell r="A43">
            <v>7418</v>
          </cell>
          <cell r="E43">
            <v>85</v>
          </cell>
          <cell r="F43" t="str">
            <v>CTAR</v>
          </cell>
        </row>
        <row r="44">
          <cell r="A44">
            <v>963074</v>
          </cell>
          <cell r="E44">
            <v>17</v>
          </cell>
          <cell r="F44" t="str">
            <v>P6N4</v>
          </cell>
        </row>
        <row r="45">
          <cell r="A45">
            <v>185296</v>
          </cell>
          <cell r="E45">
            <v>29</v>
          </cell>
          <cell r="F45" t="str">
            <v>2J0H</v>
          </cell>
        </row>
        <row r="46">
          <cell r="A46">
            <v>3074</v>
          </cell>
          <cell r="E46">
            <v>41</v>
          </cell>
          <cell r="F46" t="str">
            <v>FWDU</v>
          </cell>
        </row>
        <row r="47">
          <cell r="A47">
            <v>529630</v>
          </cell>
          <cell r="E47">
            <v>63</v>
          </cell>
          <cell r="F47" t="str">
            <v>S9Q7</v>
          </cell>
        </row>
        <row r="48">
          <cell r="A48">
            <v>741852</v>
          </cell>
          <cell r="E48">
            <v>85</v>
          </cell>
          <cell r="F48" t="str">
            <v>5M3K</v>
          </cell>
        </row>
        <row r="49">
          <cell r="A49">
            <v>9630</v>
          </cell>
          <cell r="E49">
            <v>17</v>
          </cell>
          <cell r="F49" t="str">
            <v>IZGX</v>
          </cell>
        </row>
        <row r="50">
          <cell r="A50">
            <v>1852</v>
          </cell>
          <cell r="E50">
            <v>29</v>
          </cell>
          <cell r="F50" t="str">
            <v>VCTA</v>
          </cell>
        </row>
        <row r="51">
          <cell r="A51">
            <v>3074</v>
          </cell>
          <cell r="E51">
            <v>41</v>
          </cell>
          <cell r="F51" t="str">
            <v>8P6N</v>
          </cell>
        </row>
        <row r="52">
          <cell r="A52">
            <v>5296</v>
          </cell>
          <cell r="E52">
            <v>63</v>
          </cell>
          <cell r="F52" t="str">
            <v>L2J0</v>
          </cell>
        </row>
        <row r="53">
          <cell r="A53">
            <v>7418</v>
          </cell>
          <cell r="E53">
            <v>85</v>
          </cell>
          <cell r="F53" t="str">
            <v>YFWD</v>
          </cell>
        </row>
        <row r="54">
          <cell r="A54">
            <v>9630</v>
          </cell>
          <cell r="E54">
            <v>17</v>
          </cell>
          <cell r="F54" t="str">
            <v>BS9Q</v>
          </cell>
        </row>
        <row r="55">
          <cell r="A55">
            <v>1852</v>
          </cell>
          <cell r="E55">
            <v>29</v>
          </cell>
          <cell r="F55" t="str">
            <v>O5M3</v>
          </cell>
        </row>
        <row r="56">
          <cell r="A56">
            <v>3074</v>
          </cell>
          <cell r="E56">
            <v>41</v>
          </cell>
          <cell r="F56" t="str">
            <v>1IZG</v>
          </cell>
        </row>
        <row r="57">
          <cell r="A57">
            <v>529630</v>
          </cell>
          <cell r="E57">
            <v>63</v>
          </cell>
          <cell r="F57" t="str">
            <v>EVCT</v>
          </cell>
        </row>
        <row r="58">
          <cell r="A58">
            <v>741852</v>
          </cell>
          <cell r="E58">
            <v>85</v>
          </cell>
          <cell r="F58" t="str">
            <v>R8P6</v>
          </cell>
        </row>
        <row r="59">
          <cell r="A59">
            <v>963074</v>
          </cell>
          <cell r="E59">
            <v>17</v>
          </cell>
          <cell r="F59" t="str">
            <v>4L2J</v>
          </cell>
        </row>
        <row r="60">
          <cell r="A60">
            <v>1852</v>
          </cell>
          <cell r="E60">
            <v>29</v>
          </cell>
          <cell r="F60" t="str">
            <v>HYFW</v>
          </cell>
        </row>
        <row r="61">
          <cell r="A61">
            <v>3074</v>
          </cell>
          <cell r="E61">
            <v>41</v>
          </cell>
          <cell r="F61" t="str">
            <v>UBS9</v>
          </cell>
        </row>
        <row r="62">
          <cell r="A62">
            <v>5296</v>
          </cell>
          <cell r="E62">
            <v>63</v>
          </cell>
          <cell r="F62" t="str">
            <v>7O5M</v>
          </cell>
        </row>
        <row r="63">
          <cell r="A63">
            <v>7418</v>
          </cell>
          <cell r="E63">
            <v>85</v>
          </cell>
          <cell r="F63" t="str">
            <v>K1IZ</v>
          </cell>
        </row>
        <row r="64">
          <cell r="A64">
            <v>963074</v>
          </cell>
          <cell r="E64">
            <v>17</v>
          </cell>
          <cell r="F64" t="str">
            <v>XEVC</v>
          </cell>
        </row>
        <row r="65">
          <cell r="A65">
            <v>185296</v>
          </cell>
          <cell r="E65">
            <v>29</v>
          </cell>
          <cell r="F65" t="str">
            <v>AR8P</v>
          </cell>
        </row>
        <row r="66">
          <cell r="A66">
            <v>3074</v>
          </cell>
          <cell r="E66">
            <v>41</v>
          </cell>
          <cell r="F66" t="str">
            <v>N4L2</v>
          </cell>
        </row>
        <row r="67">
          <cell r="A67">
            <v>529630</v>
          </cell>
          <cell r="E67">
            <v>63</v>
          </cell>
          <cell r="F67" t="str">
            <v>0HYF</v>
          </cell>
        </row>
        <row r="68">
          <cell r="A68">
            <v>7418</v>
          </cell>
          <cell r="E68">
            <v>85</v>
          </cell>
          <cell r="F68" t="str">
            <v>DUBS</v>
          </cell>
        </row>
        <row r="69">
          <cell r="A69">
            <v>963074</v>
          </cell>
          <cell r="E69">
            <v>17</v>
          </cell>
          <cell r="F69" t="str">
            <v>Q7O5</v>
          </cell>
        </row>
        <row r="70">
          <cell r="A70">
            <v>185296</v>
          </cell>
          <cell r="E70">
            <v>29</v>
          </cell>
          <cell r="F70" t="str">
            <v>3K1I</v>
          </cell>
        </row>
        <row r="71">
          <cell r="A71">
            <v>3074</v>
          </cell>
          <cell r="E71">
            <v>41</v>
          </cell>
          <cell r="F71" t="str">
            <v>GXEV</v>
          </cell>
        </row>
        <row r="72">
          <cell r="A72">
            <v>529630</v>
          </cell>
          <cell r="E72">
            <v>63</v>
          </cell>
          <cell r="F72" t="str">
            <v>TAR8</v>
          </cell>
        </row>
        <row r="73">
          <cell r="A73">
            <v>7418</v>
          </cell>
          <cell r="E73">
            <v>85</v>
          </cell>
          <cell r="F73" t="str">
            <v>6N4L</v>
          </cell>
        </row>
        <row r="74">
          <cell r="A74">
            <v>9630</v>
          </cell>
          <cell r="E74">
            <v>17</v>
          </cell>
          <cell r="F74" t="str">
            <v>J0HY</v>
          </cell>
        </row>
        <row r="75">
          <cell r="A75">
            <v>185296</v>
          </cell>
          <cell r="E75">
            <v>29</v>
          </cell>
          <cell r="F75" t="str">
            <v>WDUB</v>
          </cell>
        </row>
        <row r="76">
          <cell r="A76">
            <v>307418</v>
          </cell>
          <cell r="E76">
            <v>41</v>
          </cell>
          <cell r="F76" t="str">
            <v>9Q7O</v>
          </cell>
        </row>
        <row r="77">
          <cell r="A77">
            <v>529630</v>
          </cell>
          <cell r="E77">
            <v>63</v>
          </cell>
          <cell r="F77" t="str">
            <v>M3K1</v>
          </cell>
        </row>
        <row r="78">
          <cell r="A78">
            <v>741852</v>
          </cell>
          <cell r="E78">
            <v>85</v>
          </cell>
          <cell r="F78" t="str">
            <v>ZGXE</v>
          </cell>
        </row>
        <row r="79">
          <cell r="A79">
            <v>9630</v>
          </cell>
          <cell r="E79">
            <v>17</v>
          </cell>
          <cell r="F79" t="str">
            <v>CTAR</v>
          </cell>
        </row>
        <row r="80">
          <cell r="A80">
            <v>1852</v>
          </cell>
          <cell r="E80">
            <v>29</v>
          </cell>
          <cell r="F80" t="str">
            <v>P6N4</v>
          </cell>
        </row>
        <row r="81">
          <cell r="A81">
            <v>307418</v>
          </cell>
          <cell r="E81">
            <v>41</v>
          </cell>
          <cell r="F81" t="str">
            <v>2J0H</v>
          </cell>
        </row>
        <row r="82">
          <cell r="A82">
            <v>5296</v>
          </cell>
          <cell r="E82">
            <v>63</v>
          </cell>
          <cell r="F82" t="str">
            <v>FWDU</v>
          </cell>
        </row>
        <row r="83">
          <cell r="A83">
            <v>7418</v>
          </cell>
          <cell r="E83">
            <v>85</v>
          </cell>
          <cell r="F83" t="str">
            <v>S9Q7</v>
          </cell>
        </row>
        <row r="84">
          <cell r="A84">
            <v>9630</v>
          </cell>
          <cell r="E84">
            <v>17</v>
          </cell>
          <cell r="F84" t="str">
            <v>5M3K</v>
          </cell>
        </row>
        <row r="85">
          <cell r="A85">
            <v>185296</v>
          </cell>
          <cell r="E85">
            <v>29</v>
          </cell>
          <cell r="F85" t="str">
            <v>IZGX</v>
          </cell>
        </row>
        <row r="86">
          <cell r="A86">
            <v>307418</v>
          </cell>
          <cell r="E86">
            <v>41</v>
          </cell>
          <cell r="F86" t="str">
            <v>VCTA</v>
          </cell>
        </row>
        <row r="87">
          <cell r="A87">
            <v>5296</v>
          </cell>
          <cell r="E87">
            <v>63</v>
          </cell>
          <cell r="F87" t="str">
            <v>8P6N</v>
          </cell>
        </row>
        <row r="88">
          <cell r="A88">
            <v>7418</v>
          </cell>
          <cell r="E88">
            <v>85</v>
          </cell>
          <cell r="F88" t="str">
            <v>L2J0</v>
          </cell>
        </row>
        <row r="89">
          <cell r="A89">
            <v>9630</v>
          </cell>
          <cell r="E89">
            <v>17</v>
          </cell>
          <cell r="F89" t="str">
            <v>YFWD</v>
          </cell>
        </row>
        <row r="90">
          <cell r="A90">
            <v>1852</v>
          </cell>
          <cell r="E90">
            <v>29</v>
          </cell>
          <cell r="F90" t="str">
            <v>BS9Q</v>
          </cell>
        </row>
        <row r="91">
          <cell r="A91">
            <v>3074</v>
          </cell>
          <cell r="E91">
            <v>41</v>
          </cell>
          <cell r="F91" t="str">
            <v>O5M3</v>
          </cell>
        </row>
        <row r="92">
          <cell r="A92">
            <v>5296</v>
          </cell>
          <cell r="E92">
            <v>63</v>
          </cell>
          <cell r="F92" t="str">
            <v>1IZG</v>
          </cell>
        </row>
        <row r="93">
          <cell r="A93">
            <v>7418</v>
          </cell>
          <cell r="E93">
            <v>85</v>
          </cell>
          <cell r="F93" t="str">
            <v>EVCT</v>
          </cell>
        </row>
        <row r="94">
          <cell r="A94">
            <v>9630</v>
          </cell>
          <cell r="E94">
            <v>17</v>
          </cell>
          <cell r="F94" t="str">
            <v>R8P6</v>
          </cell>
        </row>
        <row r="95">
          <cell r="A95">
            <v>1852</v>
          </cell>
          <cell r="E95">
            <v>29</v>
          </cell>
          <cell r="F95" t="str">
            <v>4L2J</v>
          </cell>
        </row>
        <row r="96">
          <cell r="A96">
            <v>3074</v>
          </cell>
          <cell r="E96">
            <v>41</v>
          </cell>
          <cell r="F96" t="str">
            <v>HYFW</v>
          </cell>
        </row>
        <row r="97">
          <cell r="A97">
            <v>5296</v>
          </cell>
          <cell r="E97">
            <v>63</v>
          </cell>
          <cell r="F97" t="str">
            <v>UBS9</v>
          </cell>
        </row>
        <row r="98">
          <cell r="A98">
            <v>7418</v>
          </cell>
          <cell r="E98">
            <v>85</v>
          </cell>
          <cell r="F98" t="str">
            <v>7O5M</v>
          </cell>
        </row>
        <row r="99">
          <cell r="A99">
            <v>9630</v>
          </cell>
          <cell r="E99">
            <v>17</v>
          </cell>
          <cell r="F99" t="str">
            <v>K1IZ</v>
          </cell>
        </row>
        <row r="100">
          <cell r="A100">
            <v>1852</v>
          </cell>
          <cell r="E100">
            <v>29</v>
          </cell>
          <cell r="F100" t="str">
            <v>XEVC</v>
          </cell>
        </row>
        <row r="101">
          <cell r="A101">
            <v>3074</v>
          </cell>
          <cell r="E101">
            <v>41</v>
          </cell>
          <cell r="F101" t="str">
            <v>AR8P</v>
          </cell>
        </row>
        <row r="102">
          <cell r="A102">
            <v>5296</v>
          </cell>
          <cell r="E102">
            <v>63</v>
          </cell>
          <cell r="F102" t="str">
            <v>N4L2</v>
          </cell>
        </row>
        <row r="103">
          <cell r="A103">
            <v>7418</v>
          </cell>
          <cell r="E103">
            <v>85</v>
          </cell>
          <cell r="F103" t="str">
            <v>0HYF</v>
          </cell>
        </row>
        <row r="104">
          <cell r="A104">
            <v>963074</v>
          </cell>
          <cell r="E104">
            <v>17</v>
          </cell>
          <cell r="F104" t="str">
            <v>DUBS</v>
          </cell>
        </row>
        <row r="105">
          <cell r="A105">
            <v>1852</v>
          </cell>
          <cell r="E105">
            <v>29</v>
          </cell>
          <cell r="F105" t="str">
            <v>Q7O5</v>
          </cell>
        </row>
        <row r="106">
          <cell r="A106">
            <v>307418</v>
          </cell>
          <cell r="E106">
            <v>418</v>
          </cell>
          <cell r="F106" t="str">
            <v>3K1I</v>
          </cell>
        </row>
        <row r="107">
          <cell r="A107">
            <v>5296</v>
          </cell>
          <cell r="E107">
            <v>630</v>
          </cell>
          <cell r="F107" t="str">
            <v>GXEV</v>
          </cell>
        </row>
        <row r="108">
          <cell r="A108">
            <v>741852</v>
          </cell>
          <cell r="E108">
            <v>852</v>
          </cell>
          <cell r="F108" t="str">
            <v>TAR8</v>
          </cell>
        </row>
        <row r="109">
          <cell r="A109">
            <v>963074</v>
          </cell>
          <cell r="E109">
            <v>174</v>
          </cell>
          <cell r="F109" t="str">
            <v>6N4L</v>
          </cell>
        </row>
        <row r="110">
          <cell r="A110">
            <v>185296</v>
          </cell>
          <cell r="E110">
            <v>296</v>
          </cell>
          <cell r="F110" t="str">
            <v>J0HY</v>
          </cell>
        </row>
        <row r="111">
          <cell r="A111">
            <v>307418</v>
          </cell>
          <cell r="E111">
            <v>418</v>
          </cell>
          <cell r="F111" t="str">
            <v>WDUB</v>
          </cell>
        </row>
        <row r="112">
          <cell r="A112">
            <v>5296</v>
          </cell>
          <cell r="E112">
            <v>630</v>
          </cell>
          <cell r="F112" t="str">
            <v>9Q7O</v>
          </cell>
        </row>
        <row r="113">
          <cell r="A113">
            <v>741852</v>
          </cell>
          <cell r="E113">
            <v>852</v>
          </cell>
          <cell r="F113" t="str">
            <v>M3K1</v>
          </cell>
        </row>
        <row r="114">
          <cell r="A114">
            <v>963074</v>
          </cell>
          <cell r="E114">
            <v>174</v>
          </cell>
          <cell r="F114" t="str">
            <v>ZGXE</v>
          </cell>
        </row>
        <row r="115">
          <cell r="A115">
            <v>1852</v>
          </cell>
          <cell r="E115">
            <v>296</v>
          </cell>
          <cell r="F115" t="str">
            <v>CTAR</v>
          </cell>
        </row>
        <row r="116">
          <cell r="A116">
            <v>3074</v>
          </cell>
          <cell r="E116">
            <v>418</v>
          </cell>
          <cell r="F116" t="str">
            <v>P6N4</v>
          </cell>
        </row>
        <row r="117">
          <cell r="A117">
            <v>5296</v>
          </cell>
          <cell r="E117">
            <v>630</v>
          </cell>
          <cell r="F117" t="str">
            <v>2J0H</v>
          </cell>
        </row>
        <row r="118">
          <cell r="A118">
            <v>7418</v>
          </cell>
          <cell r="E118">
            <v>852</v>
          </cell>
          <cell r="F118" t="str">
            <v>FWDU</v>
          </cell>
        </row>
        <row r="119">
          <cell r="A119">
            <v>9630</v>
          </cell>
          <cell r="E119">
            <v>174</v>
          </cell>
          <cell r="F119" t="str">
            <v>S9Q7</v>
          </cell>
        </row>
        <row r="120">
          <cell r="A120">
            <v>185296</v>
          </cell>
          <cell r="E120">
            <v>296</v>
          </cell>
          <cell r="F120" t="str">
            <v>5M3K</v>
          </cell>
        </row>
        <row r="121">
          <cell r="A121">
            <v>307418</v>
          </cell>
          <cell r="E121">
            <v>418</v>
          </cell>
          <cell r="F121" t="str">
            <v>IZGX</v>
          </cell>
        </row>
        <row r="122">
          <cell r="A122">
            <v>529630</v>
          </cell>
          <cell r="E122">
            <v>630</v>
          </cell>
          <cell r="F122" t="str">
            <v>VCTA</v>
          </cell>
        </row>
        <row r="123">
          <cell r="A123">
            <v>741852</v>
          </cell>
          <cell r="E123">
            <v>852</v>
          </cell>
          <cell r="F123" t="str">
            <v>8P6N</v>
          </cell>
        </row>
        <row r="124">
          <cell r="A124">
            <v>963074</v>
          </cell>
          <cell r="E124">
            <v>174</v>
          </cell>
          <cell r="F124" t="str">
            <v>L2J0</v>
          </cell>
        </row>
        <row r="125">
          <cell r="A125">
            <v>185296</v>
          </cell>
          <cell r="E125">
            <v>296</v>
          </cell>
          <cell r="F125" t="str">
            <v>YFWD</v>
          </cell>
        </row>
        <row r="126">
          <cell r="A126">
            <v>307418</v>
          </cell>
          <cell r="E126">
            <v>418</v>
          </cell>
          <cell r="F126" t="str">
            <v>BS9Q</v>
          </cell>
        </row>
        <row r="127">
          <cell r="A127">
            <v>529630</v>
          </cell>
          <cell r="E127">
            <v>630</v>
          </cell>
          <cell r="F127" t="str">
            <v>O5M3</v>
          </cell>
        </row>
        <row r="128">
          <cell r="A128">
            <v>741852</v>
          </cell>
          <cell r="E128">
            <v>852</v>
          </cell>
          <cell r="F128" t="str">
            <v>1IZG</v>
          </cell>
        </row>
        <row r="129">
          <cell r="A129">
            <v>9630</v>
          </cell>
          <cell r="E129">
            <v>174</v>
          </cell>
          <cell r="F129" t="str">
            <v>EVCT</v>
          </cell>
        </row>
        <row r="130">
          <cell r="A130">
            <v>1852</v>
          </cell>
          <cell r="E130">
            <v>296</v>
          </cell>
          <cell r="F130" t="str">
            <v>R8P6</v>
          </cell>
        </row>
        <row r="131">
          <cell r="A131">
            <v>3074</v>
          </cell>
          <cell r="E131">
            <v>418</v>
          </cell>
          <cell r="F131" t="str">
            <v>4L2J</v>
          </cell>
        </row>
        <row r="132">
          <cell r="A132">
            <v>5296</v>
          </cell>
          <cell r="E132">
            <v>630</v>
          </cell>
          <cell r="F132" t="str">
            <v>HYFW</v>
          </cell>
        </row>
        <row r="133">
          <cell r="A133">
            <v>7418</v>
          </cell>
          <cell r="E133">
            <v>852</v>
          </cell>
          <cell r="F133" t="str">
            <v>UBS9</v>
          </cell>
        </row>
        <row r="134">
          <cell r="A134">
            <v>963074</v>
          </cell>
          <cell r="E134">
            <v>174</v>
          </cell>
          <cell r="F134" t="str">
            <v>7O5M</v>
          </cell>
        </row>
        <row r="135">
          <cell r="A135">
            <v>185296</v>
          </cell>
          <cell r="E135">
            <v>296</v>
          </cell>
          <cell r="F135" t="str">
            <v>K1IZ</v>
          </cell>
        </row>
        <row r="136">
          <cell r="A136">
            <v>307418</v>
          </cell>
          <cell r="E136">
            <v>418</v>
          </cell>
          <cell r="F136" t="str">
            <v>XEVC</v>
          </cell>
        </row>
        <row r="137">
          <cell r="A137">
            <v>529630</v>
          </cell>
          <cell r="E137">
            <v>630</v>
          </cell>
          <cell r="F137" t="str">
            <v>AR8P</v>
          </cell>
        </row>
        <row r="138">
          <cell r="A138">
            <v>741852</v>
          </cell>
          <cell r="E138">
            <v>852</v>
          </cell>
          <cell r="F138" t="str">
            <v>N4L2</v>
          </cell>
        </row>
        <row r="139">
          <cell r="A139">
            <v>963074</v>
          </cell>
          <cell r="E139">
            <v>174</v>
          </cell>
          <cell r="F139" t="str">
            <v>0HYF</v>
          </cell>
        </row>
        <row r="140">
          <cell r="A140">
            <v>185296</v>
          </cell>
          <cell r="E140">
            <v>296</v>
          </cell>
          <cell r="F140" t="str">
            <v>DUBS</v>
          </cell>
        </row>
        <row r="141">
          <cell r="A141">
            <v>307418</v>
          </cell>
          <cell r="E141">
            <v>418</v>
          </cell>
          <cell r="F141" t="str">
            <v>Q7O5</v>
          </cell>
        </row>
        <row r="142">
          <cell r="A142">
            <v>529630</v>
          </cell>
          <cell r="E142">
            <v>630</v>
          </cell>
          <cell r="F142" t="str">
            <v>3K1I</v>
          </cell>
        </row>
        <row r="143">
          <cell r="A143">
            <v>741852</v>
          </cell>
          <cell r="E143">
            <v>852</v>
          </cell>
          <cell r="F143" t="str">
            <v>GXEV</v>
          </cell>
        </row>
        <row r="144">
          <cell r="A144">
            <v>963074</v>
          </cell>
          <cell r="E144">
            <v>174</v>
          </cell>
          <cell r="F144" t="str">
            <v>TAR8</v>
          </cell>
        </row>
        <row r="145">
          <cell r="A145">
            <v>1852</v>
          </cell>
          <cell r="E145">
            <v>296</v>
          </cell>
          <cell r="F145" t="str">
            <v>6N4L</v>
          </cell>
        </row>
        <row r="146">
          <cell r="A146">
            <v>3074</v>
          </cell>
          <cell r="E146">
            <v>418</v>
          </cell>
          <cell r="F146" t="str">
            <v>J0HY</v>
          </cell>
        </row>
        <row r="147">
          <cell r="A147">
            <v>5296</v>
          </cell>
          <cell r="E147">
            <v>630</v>
          </cell>
          <cell r="F147" t="str">
            <v>WDUB</v>
          </cell>
        </row>
        <row r="148">
          <cell r="A148">
            <v>7418</v>
          </cell>
          <cell r="E148">
            <v>852</v>
          </cell>
          <cell r="F148" t="str">
            <v>9Q7O</v>
          </cell>
        </row>
        <row r="149">
          <cell r="A149">
            <v>9630</v>
          </cell>
          <cell r="E149">
            <v>174</v>
          </cell>
          <cell r="F149" t="str">
            <v>M3K1</v>
          </cell>
        </row>
        <row r="150">
          <cell r="A150">
            <v>1852</v>
          </cell>
          <cell r="E150">
            <v>296</v>
          </cell>
          <cell r="F150" t="str">
            <v>ZGXE</v>
          </cell>
        </row>
        <row r="151">
          <cell r="A151">
            <v>3074</v>
          </cell>
          <cell r="E151">
            <v>418</v>
          </cell>
          <cell r="F151" t="str">
            <v>CTAR</v>
          </cell>
        </row>
        <row r="152">
          <cell r="A152">
            <v>5296</v>
          </cell>
          <cell r="E152">
            <v>630</v>
          </cell>
          <cell r="F152" t="str">
            <v>P6N4</v>
          </cell>
        </row>
        <row r="153">
          <cell r="A153">
            <v>7418</v>
          </cell>
          <cell r="E153">
            <v>852</v>
          </cell>
          <cell r="F153" t="str">
            <v>2J0H</v>
          </cell>
        </row>
        <row r="154">
          <cell r="A154">
            <v>9630</v>
          </cell>
          <cell r="E154">
            <v>174</v>
          </cell>
          <cell r="F154" t="str">
            <v>FWDU</v>
          </cell>
        </row>
        <row r="155">
          <cell r="A155">
            <v>185296</v>
          </cell>
          <cell r="E155">
            <v>296</v>
          </cell>
          <cell r="F155" t="str">
            <v>S9Q7</v>
          </cell>
        </row>
        <row r="156">
          <cell r="A156">
            <v>3074</v>
          </cell>
          <cell r="E156">
            <v>418</v>
          </cell>
          <cell r="F156" t="str">
            <v>5M3K</v>
          </cell>
        </row>
        <row r="157">
          <cell r="A157">
            <v>5296</v>
          </cell>
          <cell r="E157">
            <v>630</v>
          </cell>
          <cell r="F157" t="str">
            <v>IZGX</v>
          </cell>
        </row>
        <row r="158">
          <cell r="A158">
            <v>7418</v>
          </cell>
          <cell r="E158">
            <v>852</v>
          </cell>
          <cell r="F158" t="str">
            <v>VCTA</v>
          </cell>
        </row>
        <row r="159">
          <cell r="A159">
            <v>9630</v>
          </cell>
          <cell r="E159">
            <v>174</v>
          </cell>
          <cell r="F159" t="str">
            <v>8P6N</v>
          </cell>
        </row>
        <row r="160">
          <cell r="A160">
            <v>185296</v>
          </cell>
          <cell r="E160">
            <v>296</v>
          </cell>
          <cell r="F160" t="str">
            <v>L2J0</v>
          </cell>
        </row>
        <row r="161">
          <cell r="A161">
            <v>307418</v>
          </cell>
          <cell r="E161">
            <v>418</v>
          </cell>
          <cell r="F161" t="str">
            <v>YFWD</v>
          </cell>
        </row>
        <row r="162">
          <cell r="A162">
            <v>5296</v>
          </cell>
          <cell r="E162">
            <v>630</v>
          </cell>
          <cell r="F162" t="str">
            <v>BS9Q</v>
          </cell>
        </row>
        <row r="163">
          <cell r="A163">
            <v>7418</v>
          </cell>
          <cell r="E163">
            <v>852</v>
          </cell>
          <cell r="F163" t="str">
            <v>O5M3</v>
          </cell>
        </row>
        <row r="164">
          <cell r="A164">
            <v>9630</v>
          </cell>
          <cell r="E164">
            <v>174</v>
          </cell>
          <cell r="F164" t="str">
            <v>1IZG</v>
          </cell>
        </row>
        <row r="165">
          <cell r="A165">
            <v>1852</v>
          </cell>
          <cell r="E165">
            <v>296</v>
          </cell>
          <cell r="F165" t="str">
            <v>EVCT</v>
          </cell>
        </row>
        <row r="166">
          <cell r="A166">
            <v>3074</v>
          </cell>
          <cell r="E166">
            <v>418</v>
          </cell>
          <cell r="F166" t="str">
            <v>R8P6</v>
          </cell>
        </row>
        <row r="167">
          <cell r="A167">
            <v>529630</v>
          </cell>
          <cell r="E167">
            <v>630</v>
          </cell>
          <cell r="F167" t="str">
            <v>4L2J</v>
          </cell>
        </row>
        <row r="168">
          <cell r="A168">
            <v>741852</v>
          </cell>
          <cell r="E168">
            <v>852</v>
          </cell>
          <cell r="F168" t="str">
            <v>HYFW</v>
          </cell>
        </row>
        <row r="169">
          <cell r="A169">
            <v>9630</v>
          </cell>
          <cell r="E169">
            <v>174</v>
          </cell>
          <cell r="F169" t="str">
            <v>UBS9</v>
          </cell>
        </row>
        <row r="170">
          <cell r="A170">
            <v>1852</v>
          </cell>
          <cell r="E170">
            <v>296</v>
          </cell>
          <cell r="F170" t="str">
            <v>7O5M</v>
          </cell>
        </row>
        <row r="171">
          <cell r="A171">
            <v>3074</v>
          </cell>
          <cell r="E171">
            <v>418</v>
          </cell>
          <cell r="F171" t="str">
            <v>K1IZ</v>
          </cell>
        </row>
        <row r="172">
          <cell r="A172">
            <v>5296</v>
          </cell>
          <cell r="E172">
            <v>630</v>
          </cell>
          <cell r="F172" t="str">
            <v>XEVC</v>
          </cell>
        </row>
        <row r="173">
          <cell r="A173">
            <v>7418</v>
          </cell>
          <cell r="E173">
            <v>852</v>
          </cell>
          <cell r="F173" t="str">
            <v>AR8P</v>
          </cell>
        </row>
        <row r="174">
          <cell r="A174">
            <v>963074</v>
          </cell>
          <cell r="E174">
            <v>174</v>
          </cell>
          <cell r="F174" t="str">
            <v>N4L2</v>
          </cell>
        </row>
        <row r="175">
          <cell r="A175">
            <v>185296</v>
          </cell>
          <cell r="E175">
            <v>296</v>
          </cell>
          <cell r="F175" t="str">
            <v>0HYF</v>
          </cell>
        </row>
        <row r="176">
          <cell r="A176">
            <v>307418</v>
          </cell>
          <cell r="E176">
            <v>418</v>
          </cell>
          <cell r="F176" t="str">
            <v>DUBS</v>
          </cell>
        </row>
        <row r="177">
          <cell r="A177">
            <v>5296</v>
          </cell>
          <cell r="E177">
            <v>630</v>
          </cell>
          <cell r="F177" t="str">
            <v>Q7O5</v>
          </cell>
        </row>
        <row r="178">
          <cell r="A178">
            <v>741852</v>
          </cell>
          <cell r="E178">
            <v>852</v>
          </cell>
          <cell r="F178" t="str">
            <v>3K1I</v>
          </cell>
        </row>
        <row r="179">
          <cell r="A179">
            <v>9630</v>
          </cell>
          <cell r="E179">
            <v>174</v>
          </cell>
          <cell r="F179" t="str">
            <v>GXEV</v>
          </cell>
        </row>
        <row r="180">
          <cell r="A180">
            <v>1852</v>
          </cell>
          <cell r="E180">
            <v>296</v>
          </cell>
          <cell r="F180" t="str">
            <v>TAR8</v>
          </cell>
        </row>
        <row r="181">
          <cell r="A181">
            <v>3074</v>
          </cell>
          <cell r="E181">
            <v>418</v>
          </cell>
          <cell r="F181" t="str">
            <v>6N4L</v>
          </cell>
        </row>
        <row r="182">
          <cell r="A182">
            <v>529630</v>
          </cell>
          <cell r="E182">
            <v>630</v>
          </cell>
          <cell r="F182" t="str">
            <v>J0HY</v>
          </cell>
        </row>
        <row r="183">
          <cell r="A183">
            <v>741852</v>
          </cell>
          <cell r="E183">
            <v>852</v>
          </cell>
          <cell r="F183" t="str">
            <v>WDUB</v>
          </cell>
        </row>
        <row r="184">
          <cell r="A184">
            <v>963074</v>
          </cell>
          <cell r="E184">
            <v>174</v>
          </cell>
          <cell r="F184" t="str">
            <v>9Q7O</v>
          </cell>
        </row>
        <row r="185">
          <cell r="A185">
            <v>1852</v>
          </cell>
          <cell r="E185">
            <v>296</v>
          </cell>
          <cell r="F185" t="str">
            <v>M3K1</v>
          </cell>
        </row>
        <row r="186">
          <cell r="A186">
            <v>3074</v>
          </cell>
          <cell r="E186">
            <v>418</v>
          </cell>
          <cell r="F186" t="str">
            <v>ZGXE</v>
          </cell>
        </row>
        <row r="187">
          <cell r="A187">
            <v>529630</v>
          </cell>
          <cell r="E187">
            <v>630</v>
          </cell>
          <cell r="F187" t="str">
            <v>CTAR</v>
          </cell>
        </row>
        <row r="188">
          <cell r="A188">
            <v>741852</v>
          </cell>
          <cell r="E188">
            <v>852</v>
          </cell>
          <cell r="F188" t="str">
            <v>P6N4</v>
          </cell>
        </row>
        <row r="189">
          <cell r="A189">
            <v>963074</v>
          </cell>
          <cell r="E189">
            <v>174</v>
          </cell>
          <cell r="F189" t="str">
            <v>2J0H</v>
          </cell>
        </row>
        <row r="190">
          <cell r="A190">
            <v>185296</v>
          </cell>
          <cell r="E190">
            <v>296</v>
          </cell>
          <cell r="F190" t="str">
            <v>FWDU</v>
          </cell>
        </row>
        <row r="191">
          <cell r="A191">
            <v>307418</v>
          </cell>
          <cell r="E191">
            <v>418</v>
          </cell>
          <cell r="F191" t="str">
            <v>S9Q7</v>
          </cell>
        </row>
        <row r="192">
          <cell r="A192">
            <v>529630</v>
          </cell>
          <cell r="E192">
            <v>630</v>
          </cell>
          <cell r="F192" t="str">
            <v>5M3K</v>
          </cell>
        </row>
        <row r="193">
          <cell r="A193">
            <v>741852</v>
          </cell>
          <cell r="E193">
            <v>852</v>
          </cell>
          <cell r="F193" t="str">
            <v>IZGX</v>
          </cell>
        </row>
        <row r="194">
          <cell r="A194">
            <v>96307</v>
          </cell>
          <cell r="E194">
            <v>174</v>
          </cell>
          <cell r="F194" t="str">
            <v>VCTA</v>
          </cell>
        </row>
        <row r="195">
          <cell r="A195">
            <v>18529</v>
          </cell>
          <cell r="E195">
            <v>296</v>
          </cell>
          <cell r="F195" t="str">
            <v>8P6N</v>
          </cell>
        </row>
        <row r="196">
          <cell r="A196">
            <v>30741</v>
          </cell>
          <cell r="E196">
            <v>418</v>
          </cell>
          <cell r="F196" t="str">
            <v>L2J0</v>
          </cell>
        </row>
        <row r="197">
          <cell r="A197">
            <v>529630</v>
          </cell>
          <cell r="E197">
            <v>630</v>
          </cell>
          <cell r="F197" t="str">
            <v>YFWD</v>
          </cell>
        </row>
        <row r="198">
          <cell r="A198">
            <v>741852</v>
          </cell>
          <cell r="E198">
            <v>852</v>
          </cell>
          <cell r="F198" t="str">
            <v>BS9Q</v>
          </cell>
        </row>
        <row r="199">
          <cell r="A199">
            <v>963074</v>
          </cell>
          <cell r="E199">
            <v>174</v>
          </cell>
          <cell r="F199" t="str">
            <v>O5M3</v>
          </cell>
        </row>
        <row r="200">
          <cell r="A200">
            <v>1852</v>
          </cell>
          <cell r="E200">
            <v>296</v>
          </cell>
          <cell r="F200" t="str">
            <v>1IZG</v>
          </cell>
        </row>
        <row r="201">
          <cell r="A201">
            <v>3074</v>
          </cell>
          <cell r="E201">
            <v>418</v>
          </cell>
          <cell r="F201" t="str">
            <v>EVCT</v>
          </cell>
        </row>
        <row r="202">
          <cell r="A202">
            <v>5296</v>
          </cell>
          <cell r="E202">
            <v>630</v>
          </cell>
          <cell r="F202" t="str">
            <v>R8P6</v>
          </cell>
        </row>
        <row r="203">
          <cell r="A203">
            <v>7418</v>
          </cell>
          <cell r="E203">
            <v>852</v>
          </cell>
          <cell r="F203" t="str">
            <v>4L2J</v>
          </cell>
        </row>
        <row r="204">
          <cell r="A204">
            <v>9630</v>
          </cell>
          <cell r="E204">
            <v>174</v>
          </cell>
          <cell r="F204" t="str">
            <v>HYFW</v>
          </cell>
        </row>
        <row r="205">
          <cell r="A205">
            <v>185296</v>
          </cell>
          <cell r="E205">
            <v>296</v>
          </cell>
          <cell r="F205" t="str">
            <v>UBS9</v>
          </cell>
        </row>
        <row r="206">
          <cell r="A206">
            <v>307418</v>
          </cell>
          <cell r="E206">
            <v>418</v>
          </cell>
          <cell r="F206" t="str">
            <v>7O5M</v>
          </cell>
        </row>
        <row r="207">
          <cell r="A207">
            <v>529630</v>
          </cell>
          <cell r="E207">
            <v>630</v>
          </cell>
          <cell r="F207" t="str">
            <v>K1IZ</v>
          </cell>
        </row>
        <row r="208">
          <cell r="A208">
            <v>741852</v>
          </cell>
          <cell r="E208">
            <v>852</v>
          </cell>
          <cell r="F208" t="str">
            <v>XEVC</v>
          </cell>
        </row>
        <row r="209">
          <cell r="A209">
            <v>963074</v>
          </cell>
          <cell r="E209">
            <v>174</v>
          </cell>
          <cell r="F209" t="str">
            <v>AR8P</v>
          </cell>
        </row>
        <row r="210">
          <cell r="A210">
            <v>185296</v>
          </cell>
          <cell r="E210">
            <v>296</v>
          </cell>
          <cell r="F210" t="str">
            <v>N4L2</v>
          </cell>
        </row>
        <row r="211">
          <cell r="A211">
            <v>307418</v>
          </cell>
          <cell r="E211">
            <v>418</v>
          </cell>
          <cell r="F211" t="str">
            <v>0HYF</v>
          </cell>
        </row>
        <row r="212">
          <cell r="A212">
            <v>529630</v>
          </cell>
          <cell r="E212">
            <v>630</v>
          </cell>
          <cell r="F212" t="str">
            <v>DUBS</v>
          </cell>
        </row>
        <row r="213">
          <cell r="A213">
            <v>741852</v>
          </cell>
          <cell r="E213">
            <v>852</v>
          </cell>
          <cell r="F213" t="str">
            <v>Q7O5</v>
          </cell>
        </row>
        <row r="214">
          <cell r="A214">
            <v>963074</v>
          </cell>
          <cell r="E214">
            <v>174</v>
          </cell>
          <cell r="F214" t="str">
            <v>3K1I</v>
          </cell>
        </row>
        <row r="215">
          <cell r="A215">
            <v>185296</v>
          </cell>
          <cell r="E215">
            <v>296</v>
          </cell>
          <cell r="F215" t="str">
            <v>GXEV</v>
          </cell>
        </row>
        <row r="216">
          <cell r="A216">
            <v>3074</v>
          </cell>
          <cell r="E216">
            <v>418</v>
          </cell>
          <cell r="F216" t="str">
            <v>TAR8</v>
          </cell>
        </row>
        <row r="217">
          <cell r="A217">
            <v>5296</v>
          </cell>
          <cell r="E217">
            <v>630</v>
          </cell>
          <cell r="F217" t="str">
            <v>6N4L</v>
          </cell>
        </row>
        <row r="218">
          <cell r="A218">
            <v>7418</v>
          </cell>
          <cell r="E218">
            <v>852</v>
          </cell>
          <cell r="F218" t="str">
            <v>J0HY</v>
          </cell>
        </row>
        <row r="219">
          <cell r="A219">
            <v>963074</v>
          </cell>
          <cell r="E219">
            <v>174</v>
          </cell>
          <cell r="F219" t="str">
            <v>WDUB</v>
          </cell>
        </row>
        <row r="220">
          <cell r="A220">
            <v>185296</v>
          </cell>
          <cell r="E220">
            <v>296</v>
          </cell>
          <cell r="F220" t="str">
            <v>9Q7O</v>
          </cell>
        </row>
        <row r="221">
          <cell r="A221">
            <v>307418</v>
          </cell>
          <cell r="E221">
            <v>418</v>
          </cell>
          <cell r="F221" t="str">
            <v>M3K1</v>
          </cell>
        </row>
        <row r="222">
          <cell r="A222">
            <v>5296</v>
          </cell>
          <cell r="E222">
            <v>630</v>
          </cell>
          <cell r="F222" t="str">
            <v>ZGXE</v>
          </cell>
        </row>
        <row r="223">
          <cell r="A223">
            <v>7418</v>
          </cell>
          <cell r="E223">
            <v>852</v>
          </cell>
          <cell r="F223" t="str">
            <v>CTAR</v>
          </cell>
        </row>
        <row r="224">
          <cell r="A224">
            <v>9630</v>
          </cell>
          <cell r="E224">
            <v>174</v>
          </cell>
          <cell r="F224" t="str">
            <v>P6N4</v>
          </cell>
        </row>
        <row r="225">
          <cell r="A225">
            <v>1852</v>
          </cell>
          <cell r="E225">
            <v>296</v>
          </cell>
          <cell r="F225" t="str">
            <v>2J0H</v>
          </cell>
        </row>
        <row r="226">
          <cell r="A226">
            <v>3074</v>
          </cell>
          <cell r="E226">
            <v>418</v>
          </cell>
          <cell r="F226" t="str">
            <v>FWDU</v>
          </cell>
        </row>
        <row r="227">
          <cell r="A227">
            <v>5296</v>
          </cell>
          <cell r="E227">
            <v>630</v>
          </cell>
          <cell r="F227" t="str">
            <v>S9Q7</v>
          </cell>
        </row>
        <row r="228">
          <cell r="A228">
            <v>7418</v>
          </cell>
          <cell r="E228">
            <v>852</v>
          </cell>
          <cell r="F228" t="str">
            <v>5M3K</v>
          </cell>
        </row>
        <row r="229">
          <cell r="A229">
            <v>963074</v>
          </cell>
          <cell r="E229">
            <v>174</v>
          </cell>
          <cell r="F229" t="str">
            <v>IZGX</v>
          </cell>
        </row>
        <row r="230">
          <cell r="A230">
            <v>185296</v>
          </cell>
          <cell r="E230">
            <v>296</v>
          </cell>
          <cell r="F230" t="str">
            <v>VCTA</v>
          </cell>
        </row>
        <row r="231">
          <cell r="A231">
            <v>307418</v>
          </cell>
          <cell r="E231">
            <v>418</v>
          </cell>
          <cell r="F231" t="str">
            <v>8P6N</v>
          </cell>
        </row>
        <row r="232">
          <cell r="A232">
            <v>529630</v>
          </cell>
          <cell r="E232">
            <v>630</v>
          </cell>
          <cell r="F232" t="str">
            <v>L2J0</v>
          </cell>
        </row>
        <row r="233">
          <cell r="A233">
            <v>741852</v>
          </cell>
          <cell r="E233">
            <v>852</v>
          </cell>
          <cell r="F233" t="str">
            <v>YFWD</v>
          </cell>
        </row>
        <row r="234">
          <cell r="A234">
            <v>963074</v>
          </cell>
          <cell r="E234">
            <v>174</v>
          </cell>
          <cell r="F234" t="str">
            <v>BS9Q</v>
          </cell>
        </row>
        <row r="235">
          <cell r="A235">
            <v>185296</v>
          </cell>
          <cell r="E235">
            <v>296</v>
          </cell>
          <cell r="F235" t="str">
            <v>O5M3</v>
          </cell>
        </row>
        <row r="236">
          <cell r="A236">
            <v>307418</v>
          </cell>
          <cell r="E236">
            <v>418</v>
          </cell>
          <cell r="F236" t="str">
            <v>1IZG</v>
          </cell>
        </row>
        <row r="237">
          <cell r="A237">
            <v>5296</v>
          </cell>
          <cell r="E237">
            <v>630</v>
          </cell>
          <cell r="F237" t="str">
            <v>EVCT</v>
          </cell>
        </row>
        <row r="238">
          <cell r="A238">
            <v>7418</v>
          </cell>
          <cell r="E238">
            <v>852</v>
          </cell>
          <cell r="F238" t="str">
            <v>R8P6</v>
          </cell>
        </row>
        <row r="239">
          <cell r="A239">
            <v>9630</v>
          </cell>
          <cell r="E239">
            <v>174</v>
          </cell>
          <cell r="F239" t="str">
            <v>4L2J</v>
          </cell>
        </row>
        <row r="240">
          <cell r="A240">
            <v>1852</v>
          </cell>
          <cell r="E240">
            <v>296</v>
          </cell>
          <cell r="F240" t="str">
            <v>HYFW</v>
          </cell>
        </row>
        <row r="241">
          <cell r="A241">
            <v>3074</v>
          </cell>
          <cell r="E241">
            <v>418</v>
          </cell>
          <cell r="F241" t="str">
            <v>UBS9</v>
          </cell>
        </row>
        <row r="242">
          <cell r="A242">
            <v>5296</v>
          </cell>
          <cell r="E242">
            <v>630</v>
          </cell>
          <cell r="F242" t="str">
            <v>7O5M</v>
          </cell>
        </row>
        <row r="243">
          <cell r="A243">
            <v>7418</v>
          </cell>
          <cell r="E243">
            <v>852</v>
          </cell>
          <cell r="F243" t="str">
            <v>K1IZ</v>
          </cell>
        </row>
        <row r="244">
          <cell r="A244">
            <v>9630</v>
          </cell>
          <cell r="E244">
            <v>174</v>
          </cell>
          <cell r="F244" t="str">
            <v>XEVC</v>
          </cell>
        </row>
        <row r="245">
          <cell r="A245">
            <v>1852</v>
          </cell>
          <cell r="E245">
            <v>296</v>
          </cell>
          <cell r="F245" t="str">
            <v>AR8P</v>
          </cell>
        </row>
        <row r="246">
          <cell r="A246">
            <v>3074</v>
          </cell>
          <cell r="E246">
            <v>418</v>
          </cell>
          <cell r="F246" t="str">
            <v>N4L2</v>
          </cell>
        </row>
        <row r="247">
          <cell r="A247">
            <v>5296</v>
          </cell>
          <cell r="E247">
            <v>630</v>
          </cell>
          <cell r="F247" t="str">
            <v>0HYF</v>
          </cell>
        </row>
        <row r="248">
          <cell r="A248">
            <v>7418</v>
          </cell>
          <cell r="E248">
            <v>852</v>
          </cell>
          <cell r="F248" t="str">
            <v>DUBS</v>
          </cell>
        </row>
        <row r="249">
          <cell r="A249">
            <v>9630</v>
          </cell>
          <cell r="E249">
            <v>174</v>
          </cell>
          <cell r="F249" t="str">
            <v>Q7O5</v>
          </cell>
        </row>
        <row r="250">
          <cell r="A250">
            <v>1852</v>
          </cell>
          <cell r="E250">
            <v>296</v>
          </cell>
          <cell r="F250" t="str">
            <v>3K1I</v>
          </cell>
        </row>
        <row r="251">
          <cell r="A251">
            <v>3074</v>
          </cell>
          <cell r="E251">
            <v>418</v>
          </cell>
          <cell r="F251" t="str">
            <v>GXEV</v>
          </cell>
        </row>
        <row r="252">
          <cell r="A252">
            <v>5296</v>
          </cell>
          <cell r="E252">
            <v>630</v>
          </cell>
          <cell r="F252" t="str">
            <v>TAR8</v>
          </cell>
        </row>
        <row r="253">
          <cell r="A253">
            <v>7418</v>
          </cell>
          <cell r="E253">
            <v>852</v>
          </cell>
          <cell r="F253" t="str">
            <v>6N4L</v>
          </cell>
        </row>
        <row r="254">
          <cell r="A254">
            <v>9630</v>
          </cell>
          <cell r="E254">
            <v>174</v>
          </cell>
          <cell r="F254" t="str">
            <v>J0HY</v>
          </cell>
        </row>
        <row r="255">
          <cell r="A255">
            <v>185296</v>
          </cell>
          <cell r="E255">
            <v>296</v>
          </cell>
          <cell r="F255" t="str">
            <v>WDUB</v>
          </cell>
        </row>
        <row r="256">
          <cell r="A256">
            <v>307418</v>
          </cell>
          <cell r="E256">
            <v>418</v>
          </cell>
          <cell r="F256" t="str">
            <v>9Q7O</v>
          </cell>
        </row>
        <row r="257">
          <cell r="A257">
            <v>5296</v>
          </cell>
          <cell r="E257">
            <v>630</v>
          </cell>
          <cell r="F257" t="str">
            <v>M3K1</v>
          </cell>
        </row>
        <row r="258">
          <cell r="A258">
            <v>7418</v>
          </cell>
          <cell r="E258">
            <v>852</v>
          </cell>
          <cell r="F258" t="str">
            <v>ZGXE</v>
          </cell>
        </row>
        <row r="259">
          <cell r="A259">
            <v>963074</v>
          </cell>
          <cell r="E259">
            <v>174</v>
          </cell>
          <cell r="F259" t="str">
            <v>CTAR</v>
          </cell>
        </row>
        <row r="260">
          <cell r="A260">
            <v>18529</v>
          </cell>
          <cell r="E260">
            <v>296</v>
          </cell>
          <cell r="F260" t="str">
            <v>P6N4</v>
          </cell>
        </row>
        <row r="261">
          <cell r="A261">
            <v>30741</v>
          </cell>
          <cell r="E261">
            <v>418</v>
          </cell>
          <cell r="F261" t="str">
            <v>2J0H</v>
          </cell>
        </row>
        <row r="262">
          <cell r="A262">
            <v>529630</v>
          </cell>
          <cell r="E262">
            <v>630</v>
          </cell>
          <cell r="F262" t="str">
            <v>FWDU</v>
          </cell>
        </row>
        <row r="263">
          <cell r="A263">
            <v>7418</v>
          </cell>
          <cell r="E263">
            <v>852</v>
          </cell>
          <cell r="F263" t="str">
            <v>S9Q7</v>
          </cell>
        </row>
        <row r="264">
          <cell r="A264">
            <v>9630</v>
          </cell>
          <cell r="E264">
            <v>174</v>
          </cell>
          <cell r="F264" t="str">
            <v>5M3K</v>
          </cell>
        </row>
        <row r="265">
          <cell r="A265">
            <v>1852</v>
          </cell>
          <cell r="E265">
            <v>296</v>
          </cell>
          <cell r="F265" t="str">
            <v>IZGX</v>
          </cell>
        </row>
        <row r="266">
          <cell r="A266">
            <v>307418</v>
          </cell>
          <cell r="E266">
            <v>418</v>
          </cell>
          <cell r="F266" t="str">
            <v>VCTA</v>
          </cell>
        </row>
        <row r="267">
          <cell r="A267">
            <v>529630</v>
          </cell>
          <cell r="E267">
            <v>630</v>
          </cell>
          <cell r="F267" t="str">
            <v>8P6N</v>
          </cell>
        </row>
        <row r="268">
          <cell r="A268">
            <v>741852</v>
          </cell>
          <cell r="E268">
            <v>852</v>
          </cell>
          <cell r="F268" t="str">
            <v>L2J0</v>
          </cell>
        </row>
        <row r="269">
          <cell r="A269">
            <v>9630</v>
          </cell>
          <cell r="E269">
            <v>174</v>
          </cell>
          <cell r="F269" t="str">
            <v>YFWD</v>
          </cell>
        </row>
        <row r="270">
          <cell r="A270">
            <v>1852</v>
          </cell>
          <cell r="E270">
            <v>296</v>
          </cell>
          <cell r="F270" t="str">
            <v>BS9Q</v>
          </cell>
        </row>
        <row r="271">
          <cell r="A271">
            <v>307418</v>
          </cell>
          <cell r="E271">
            <v>418</v>
          </cell>
          <cell r="F271" t="str">
            <v>O5M3</v>
          </cell>
        </row>
        <row r="272">
          <cell r="A272">
            <v>529630</v>
          </cell>
          <cell r="E272">
            <v>630</v>
          </cell>
          <cell r="F272" t="str">
            <v>1IZG</v>
          </cell>
        </row>
        <row r="273">
          <cell r="A273">
            <v>741852</v>
          </cell>
          <cell r="E273">
            <v>852</v>
          </cell>
          <cell r="F273" t="str">
            <v>EVCT</v>
          </cell>
        </row>
        <row r="274">
          <cell r="A274">
            <v>963074</v>
          </cell>
          <cell r="E274">
            <v>174</v>
          </cell>
          <cell r="F274" t="str">
            <v>R8P6</v>
          </cell>
        </row>
        <row r="275">
          <cell r="A275">
            <v>185296</v>
          </cell>
          <cell r="E275">
            <v>296</v>
          </cell>
          <cell r="F275" t="str">
            <v>4L2J</v>
          </cell>
        </row>
        <row r="276">
          <cell r="A276">
            <v>307418</v>
          </cell>
          <cell r="E276">
            <v>418</v>
          </cell>
          <cell r="F276" t="str">
            <v>HYFW</v>
          </cell>
        </row>
        <row r="277">
          <cell r="A277">
            <v>529630</v>
          </cell>
          <cell r="E277">
            <v>630</v>
          </cell>
          <cell r="F277" t="str">
            <v>UBS9</v>
          </cell>
        </row>
        <row r="278">
          <cell r="A278">
            <v>741852</v>
          </cell>
          <cell r="E278">
            <v>852</v>
          </cell>
          <cell r="F278" t="str">
            <v>7O5M</v>
          </cell>
        </row>
        <row r="279">
          <cell r="A279">
            <v>963074</v>
          </cell>
          <cell r="E279">
            <v>174</v>
          </cell>
          <cell r="F279" t="str">
            <v>K1IZ</v>
          </cell>
        </row>
        <row r="280">
          <cell r="A280">
            <v>1852</v>
          </cell>
          <cell r="E280">
            <v>296</v>
          </cell>
          <cell r="F280" t="str">
            <v>XEVC</v>
          </cell>
        </row>
        <row r="281">
          <cell r="A281">
            <v>3074</v>
          </cell>
          <cell r="E281">
            <v>418</v>
          </cell>
          <cell r="F281" t="str">
            <v>AR8P</v>
          </cell>
        </row>
        <row r="282">
          <cell r="A282">
            <v>5296</v>
          </cell>
          <cell r="E282">
            <v>630</v>
          </cell>
          <cell r="F282" t="str">
            <v>N4L2</v>
          </cell>
        </row>
        <row r="283">
          <cell r="A283">
            <v>7418</v>
          </cell>
          <cell r="E283">
            <v>852</v>
          </cell>
          <cell r="F283" t="str">
            <v>0HYF</v>
          </cell>
        </row>
        <row r="284">
          <cell r="A284">
            <v>9630</v>
          </cell>
          <cell r="E284">
            <v>174</v>
          </cell>
          <cell r="F284" t="str">
            <v>DUBS</v>
          </cell>
        </row>
        <row r="285">
          <cell r="A285">
            <v>185296</v>
          </cell>
          <cell r="E285">
            <v>296</v>
          </cell>
          <cell r="F285" t="str">
            <v>Q7O5</v>
          </cell>
        </row>
        <row r="286">
          <cell r="A286">
            <v>307418</v>
          </cell>
          <cell r="E286">
            <v>418</v>
          </cell>
          <cell r="F286" t="str">
            <v>3K1I</v>
          </cell>
        </row>
        <row r="287">
          <cell r="A287">
            <v>529630</v>
          </cell>
          <cell r="E287">
            <v>630</v>
          </cell>
          <cell r="F287" t="str">
            <v>GXEV</v>
          </cell>
        </row>
        <row r="288">
          <cell r="A288">
            <v>741852</v>
          </cell>
          <cell r="E288">
            <v>852</v>
          </cell>
          <cell r="F288" t="str">
            <v>TAR8</v>
          </cell>
        </row>
        <row r="289">
          <cell r="A289">
            <v>963074</v>
          </cell>
          <cell r="E289">
            <v>174</v>
          </cell>
          <cell r="F289" t="str">
            <v>6N4L</v>
          </cell>
        </row>
        <row r="290">
          <cell r="A290">
            <v>185296</v>
          </cell>
          <cell r="E290">
            <v>296</v>
          </cell>
          <cell r="F290" t="str">
            <v>J0HY</v>
          </cell>
        </row>
        <row r="291">
          <cell r="A291">
            <v>307418</v>
          </cell>
          <cell r="E291">
            <v>418</v>
          </cell>
          <cell r="F291" t="str">
            <v>WDUB</v>
          </cell>
        </row>
        <row r="292">
          <cell r="A292">
            <v>529630</v>
          </cell>
          <cell r="E292">
            <v>630</v>
          </cell>
          <cell r="F292" t="str">
            <v>9Q7O</v>
          </cell>
        </row>
        <row r="293">
          <cell r="A293">
            <v>7418</v>
          </cell>
          <cell r="E293">
            <v>852</v>
          </cell>
          <cell r="F293" t="str">
            <v>M3K1</v>
          </cell>
        </row>
        <row r="294">
          <cell r="A294">
            <v>9630</v>
          </cell>
          <cell r="E294">
            <v>174</v>
          </cell>
          <cell r="F294" t="str">
            <v>ZGXE</v>
          </cell>
        </row>
        <row r="295">
          <cell r="A295">
            <v>1852</v>
          </cell>
          <cell r="E295">
            <v>296</v>
          </cell>
          <cell r="F295" t="str">
            <v>CTAR</v>
          </cell>
        </row>
        <row r="296">
          <cell r="A296">
            <v>307418</v>
          </cell>
          <cell r="E296">
            <v>418</v>
          </cell>
          <cell r="F296" t="str">
            <v>P6N4</v>
          </cell>
        </row>
        <row r="297">
          <cell r="A297">
            <v>529630</v>
          </cell>
          <cell r="E297">
            <v>630</v>
          </cell>
          <cell r="F297" t="str">
            <v>2J0H</v>
          </cell>
        </row>
        <row r="298">
          <cell r="A298">
            <v>741852</v>
          </cell>
          <cell r="E298">
            <v>852</v>
          </cell>
          <cell r="F298" t="str">
            <v>FWDU</v>
          </cell>
        </row>
        <row r="299">
          <cell r="A299">
            <v>9630</v>
          </cell>
          <cell r="E299">
            <v>174</v>
          </cell>
          <cell r="F299" t="str">
            <v>S9Q7</v>
          </cell>
        </row>
        <row r="300">
          <cell r="A300">
            <v>1852</v>
          </cell>
          <cell r="E300">
            <v>296</v>
          </cell>
          <cell r="F300" t="str">
            <v>5M3K</v>
          </cell>
        </row>
        <row r="301">
          <cell r="A301">
            <v>307418</v>
          </cell>
          <cell r="E301">
            <v>418</v>
          </cell>
          <cell r="F301" t="str">
            <v>IZGX</v>
          </cell>
        </row>
        <row r="302">
          <cell r="A302">
            <v>529630</v>
          </cell>
          <cell r="E302">
            <v>630</v>
          </cell>
          <cell r="F302" t="str">
            <v>VCTA</v>
          </cell>
        </row>
        <row r="303">
          <cell r="A303">
            <v>741852</v>
          </cell>
          <cell r="E303">
            <v>852</v>
          </cell>
          <cell r="F303" t="str">
            <v>8P6N</v>
          </cell>
        </row>
        <row r="304">
          <cell r="A304">
            <v>9630</v>
          </cell>
          <cell r="E304">
            <v>174</v>
          </cell>
          <cell r="F304" t="str">
            <v>L2J0</v>
          </cell>
        </row>
        <row r="305">
          <cell r="A305">
            <v>1852</v>
          </cell>
          <cell r="E305">
            <v>296</v>
          </cell>
          <cell r="F305" t="str">
            <v>YFWD</v>
          </cell>
        </row>
        <row r="306">
          <cell r="A306">
            <v>3074</v>
          </cell>
          <cell r="E306">
            <v>418</v>
          </cell>
          <cell r="F306" t="str">
            <v>BS9Q</v>
          </cell>
        </row>
        <row r="307">
          <cell r="A307">
            <v>5296</v>
          </cell>
          <cell r="E307">
            <v>630</v>
          </cell>
          <cell r="F307" t="str">
            <v>O5M3</v>
          </cell>
        </row>
        <row r="308">
          <cell r="A308">
            <v>7418</v>
          </cell>
          <cell r="E308">
            <v>852</v>
          </cell>
          <cell r="F308" t="str">
            <v>1IZG</v>
          </cell>
        </row>
        <row r="309">
          <cell r="A309">
            <v>963074</v>
          </cell>
          <cell r="E309">
            <v>174</v>
          </cell>
          <cell r="F309" t="str">
            <v>EVCT</v>
          </cell>
        </row>
        <row r="310">
          <cell r="A310">
            <v>185296</v>
          </cell>
          <cell r="E310">
            <v>296</v>
          </cell>
          <cell r="F310" t="str">
            <v>R8P6</v>
          </cell>
        </row>
        <row r="311">
          <cell r="A311">
            <v>307418</v>
          </cell>
          <cell r="E311">
            <v>418</v>
          </cell>
          <cell r="F311" t="str">
            <v>4L2J</v>
          </cell>
        </row>
        <row r="312">
          <cell r="A312">
            <v>529630</v>
          </cell>
          <cell r="E312">
            <v>630</v>
          </cell>
          <cell r="F312" t="str">
            <v>HYFW</v>
          </cell>
        </row>
        <row r="313">
          <cell r="A313">
            <v>741852</v>
          </cell>
          <cell r="E313">
            <v>852</v>
          </cell>
          <cell r="F313" t="str">
            <v>UBS9</v>
          </cell>
        </row>
        <row r="314">
          <cell r="A314">
            <v>963074</v>
          </cell>
          <cell r="E314">
            <v>174</v>
          </cell>
          <cell r="F314" t="str">
            <v>7O5M</v>
          </cell>
        </row>
        <row r="315">
          <cell r="A315">
            <v>185296</v>
          </cell>
          <cell r="E315">
            <v>296</v>
          </cell>
          <cell r="F315" t="str">
            <v>K1IZ</v>
          </cell>
        </row>
        <row r="316">
          <cell r="A316">
            <v>307418</v>
          </cell>
          <cell r="E316">
            <v>418</v>
          </cell>
          <cell r="F316" t="str">
            <v>XEVC</v>
          </cell>
        </row>
        <row r="317">
          <cell r="A317">
            <v>529630</v>
          </cell>
          <cell r="E317">
            <v>630</v>
          </cell>
          <cell r="F317" t="str">
            <v>AR8P</v>
          </cell>
        </row>
        <row r="318">
          <cell r="A318">
            <v>741852</v>
          </cell>
          <cell r="E318">
            <v>852</v>
          </cell>
          <cell r="F318" t="str">
            <v>N4L2</v>
          </cell>
        </row>
        <row r="319">
          <cell r="A319">
            <v>963074</v>
          </cell>
          <cell r="E319">
            <v>174</v>
          </cell>
          <cell r="F319" t="str">
            <v>0HYF</v>
          </cell>
        </row>
        <row r="320">
          <cell r="A320">
            <v>185296</v>
          </cell>
          <cell r="E320">
            <v>296</v>
          </cell>
          <cell r="F320" t="str">
            <v>DUBS</v>
          </cell>
        </row>
        <row r="321">
          <cell r="A321">
            <v>307418</v>
          </cell>
          <cell r="E321">
            <v>418</v>
          </cell>
          <cell r="F321" t="str">
            <v>Q7O5</v>
          </cell>
        </row>
        <row r="322">
          <cell r="A322">
            <v>529630</v>
          </cell>
          <cell r="E322">
            <v>630</v>
          </cell>
          <cell r="F322" t="str">
            <v>3K1I</v>
          </cell>
        </row>
        <row r="323">
          <cell r="A323">
            <v>741852</v>
          </cell>
          <cell r="E323">
            <v>852</v>
          </cell>
          <cell r="F323" t="str">
            <v>GXEV</v>
          </cell>
        </row>
        <row r="324">
          <cell r="A324">
            <v>963074</v>
          </cell>
          <cell r="E324">
            <v>174</v>
          </cell>
          <cell r="F324" t="str">
            <v>TAR8</v>
          </cell>
        </row>
        <row r="325">
          <cell r="A325">
            <v>185296</v>
          </cell>
          <cell r="E325">
            <v>296</v>
          </cell>
          <cell r="F325" t="str">
            <v>6N4L</v>
          </cell>
        </row>
        <row r="326">
          <cell r="A326">
            <v>3074</v>
          </cell>
          <cell r="E326">
            <v>418</v>
          </cell>
          <cell r="F326" t="str">
            <v>J0HY</v>
          </cell>
        </row>
        <row r="327">
          <cell r="A327">
            <v>5296</v>
          </cell>
          <cell r="E327">
            <v>630</v>
          </cell>
          <cell r="F327" t="str">
            <v>WDUB</v>
          </cell>
        </row>
        <row r="328">
          <cell r="A328">
            <v>7418</v>
          </cell>
          <cell r="E328">
            <v>852</v>
          </cell>
          <cell r="F328" t="str">
            <v>9Q7O</v>
          </cell>
        </row>
        <row r="329">
          <cell r="A329">
            <v>9630</v>
          </cell>
          <cell r="E329">
            <v>174</v>
          </cell>
          <cell r="F329" t="str">
            <v>M3K1</v>
          </cell>
        </row>
        <row r="330">
          <cell r="A330">
            <v>1852</v>
          </cell>
          <cell r="E330">
            <v>296</v>
          </cell>
          <cell r="F330" t="str">
            <v>ZGXE</v>
          </cell>
        </row>
        <row r="331">
          <cell r="A331">
            <v>3074</v>
          </cell>
          <cell r="E331">
            <v>418</v>
          </cell>
          <cell r="F331" t="str">
            <v>CTAR</v>
          </cell>
        </row>
        <row r="332">
          <cell r="A332">
            <v>5296</v>
          </cell>
          <cell r="E332">
            <v>630</v>
          </cell>
          <cell r="F332" t="str">
            <v>P6N4</v>
          </cell>
        </row>
        <row r="333">
          <cell r="A333">
            <v>7418</v>
          </cell>
          <cell r="E333">
            <v>852</v>
          </cell>
          <cell r="F333" t="str">
            <v>2J0H</v>
          </cell>
        </row>
        <row r="334">
          <cell r="A334">
            <v>9630</v>
          </cell>
          <cell r="E334">
            <v>174</v>
          </cell>
          <cell r="F334" t="str">
            <v>FWDU</v>
          </cell>
        </row>
        <row r="335">
          <cell r="A335">
            <v>1852</v>
          </cell>
          <cell r="E335">
            <v>296</v>
          </cell>
          <cell r="F335" t="str">
            <v>S9Q7</v>
          </cell>
        </row>
        <row r="336">
          <cell r="A336">
            <v>3074</v>
          </cell>
          <cell r="E336">
            <v>418</v>
          </cell>
          <cell r="F336" t="str">
            <v>5M3K</v>
          </cell>
        </row>
        <row r="337">
          <cell r="A337">
            <v>5296</v>
          </cell>
          <cell r="E337">
            <v>630</v>
          </cell>
          <cell r="F337" t="str">
            <v>IZGX</v>
          </cell>
        </row>
        <row r="338">
          <cell r="A338">
            <v>741852</v>
          </cell>
          <cell r="E338">
            <v>852</v>
          </cell>
          <cell r="F338" t="str">
            <v>VCTA</v>
          </cell>
        </row>
        <row r="339">
          <cell r="A339">
            <v>9630</v>
          </cell>
          <cell r="E339">
            <v>174</v>
          </cell>
          <cell r="F339" t="str">
            <v>8P6N</v>
          </cell>
        </row>
        <row r="340">
          <cell r="A340">
            <v>1852</v>
          </cell>
          <cell r="E340">
            <v>296</v>
          </cell>
          <cell r="F340" t="str">
            <v>L2J0</v>
          </cell>
        </row>
        <row r="341">
          <cell r="A341">
            <v>307418</v>
          </cell>
          <cell r="E341">
            <v>418</v>
          </cell>
          <cell r="F341" t="str">
            <v>YFWD</v>
          </cell>
        </row>
        <row r="342">
          <cell r="A342">
            <v>529630</v>
          </cell>
          <cell r="E342">
            <v>630</v>
          </cell>
          <cell r="F342" t="str">
            <v>BS9Q</v>
          </cell>
        </row>
        <row r="343">
          <cell r="A343">
            <v>7418</v>
          </cell>
          <cell r="E343">
            <v>852</v>
          </cell>
          <cell r="F343" t="str">
            <v>O5M3</v>
          </cell>
        </row>
        <row r="344">
          <cell r="A344">
            <v>963074</v>
          </cell>
          <cell r="E344">
            <v>174</v>
          </cell>
          <cell r="F344" t="str">
            <v>1IZG</v>
          </cell>
        </row>
        <row r="345">
          <cell r="A345">
            <v>1852</v>
          </cell>
          <cell r="E345">
            <v>296</v>
          </cell>
          <cell r="F345" t="str">
            <v>EVCT</v>
          </cell>
        </row>
        <row r="346">
          <cell r="A346">
            <v>3074</v>
          </cell>
          <cell r="E346">
            <v>418</v>
          </cell>
          <cell r="F346" t="str">
            <v>R8P6</v>
          </cell>
        </row>
        <row r="347">
          <cell r="A347">
            <v>529630</v>
          </cell>
          <cell r="E347">
            <v>630</v>
          </cell>
          <cell r="F347" t="str">
            <v>4L2J</v>
          </cell>
        </row>
        <row r="348">
          <cell r="A348">
            <v>741852</v>
          </cell>
          <cell r="E348">
            <v>852</v>
          </cell>
          <cell r="F348" t="str">
            <v>HYFW</v>
          </cell>
        </row>
        <row r="349">
          <cell r="A349">
            <v>963074</v>
          </cell>
          <cell r="E349">
            <v>174</v>
          </cell>
          <cell r="F349" t="str">
            <v>UBS9</v>
          </cell>
        </row>
        <row r="350">
          <cell r="A350">
            <v>1852</v>
          </cell>
          <cell r="E350">
            <v>296</v>
          </cell>
          <cell r="F350" t="str">
            <v>7O5M</v>
          </cell>
        </row>
        <row r="351">
          <cell r="A351">
            <v>3074</v>
          </cell>
          <cell r="E351">
            <v>418</v>
          </cell>
          <cell r="F351" t="str">
            <v>K1IZ</v>
          </cell>
        </row>
        <row r="352">
          <cell r="A352">
            <v>529630</v>
          </cell>
          <cell r="E352">
            <v>630</v>
          </cell>
          <cell r="F352" t="str">
            <v>XEVC</v>
          </cell>
        </row>
        <row r="353">
          <cell r="A353">
            <v>741852</v>
          </cell>
          <cell r="E353">
            <v>852</v>
          </cell>
          <cell r="F353" t="str">
            <v>AR8P</v>
          </cell>
        </row>
        <row r="354">
          <cell r="A354">
            <v>963074</v>
          </cell>
          <cell r="E354">
            <v>174</v>
          </cell>
          <cell r="F354" t="str">
            <v>N4L2</v>
          </cell>
        </row>
        <row r="355">
          <cell r="A355">
            <v>185296</v>
          </cell>
          <cell r="E355">
            <v>296</v>
          </cell>
          <cell r="F355" t="str">
            <v>0HYF</v>
          </cell>
        </row>
        <row r="356">
          <cell r="A356">
            <v>307418</v>
          </cell>
          <cell r="E356">
            <v>418</v>
          </cell>
          <cell r="F356" t="str">
            <v>DUBS</v>
          </cell>
        </row>
        <row r="357">
          <cell r="A357">
            <v>529630</v>
          </cell>
          <cell r="E357">
            <v>630</v>
          </cell>
          <cell r="F357" t="str">
            <v>Q7O5</v>
          </cell>
        </row>
        <row r="358">
          <cell r="A358">
            <v>741852</v>
          </cell>
          <cell r="E358">
            <v>852</v>
          </cell>
          <cell r="F358" t="str">
            <v>3K1I</v>
          </cell>
        </row>
        <row r="359">
          <cell r="A359">
            <v>963074</v>
          </cell>
          <cell r="E359">
            <v>174</v>
          </cell>
          <cell r="F359" t="str">
            <v>GXEV</v>
          </cell>
        </row>
        <row r="360">
          <cell r="A360">
            <v>1852</v>
          </cell>
          <cell r="E360">
            <v>296</v>
          </cell>
          <cell r="F360" t="str">
            <v>TAR8</v>
          </cell>
        </row>
        <row r="361">
          <cell r="A361">
            <v>3074</v>
          </cell>
          <cell r="E361">
            <v>418</v>
          </cell>
          <cell r="F361" t="str">
            <v>6N4L</v>
          </cell>
        </row>
        <row r="362">
          <cell r="A362">
            <v>5296</v>
          </cell>
          <cell r="E362">
            <v>630</v>
          </cell>
          <cell r="F362" t="str">
            <v>J0HY</v>
          </cell>
        </row>
        <row r="363">
          <cell r="A363">
            <v>7418</v>
          </cell>
          <cell r="E363">
            <v>852</v>
          </cell>
          <cell r="F363" t="str">
            <v>WDUB</v>
          </cell>
        </row>
        <row r="364">
          <cell r="A364">
            <v>9630</v>
          </cell>
          <cell r="E364">
            <v>174</v>
          </cell>
          <cell r="F364" t="str">
            <v>9Q7O</v>
          </cell>
        </row>
        <row r="365">
          <cell r="A365">
            <v>185296</v>
          </cell>
          <cell r="E365">
            <v>296</v>
          </cell>
          <cell r="F365" t="str">
            <v>M3K1</v>
          </cell>
        </row>
        <row r="366">
          <cell r="A366">
            <v>307418</v>
          </cell>
          <cell r="E366">
            <v>418</v>
          </cell>
          <cell r="F366" t="str">
            <v>ZGXE</v>
          </cell>
        </row>
        <row r="367">
          <cell r="A367">
            <v>529630</v>
          </cell>
          <cell r="E367">
            <v>630</v>
          </cell>
          <cell r="F367" t="str">
            <v>CTAR</v>
          </cell>
        </row>
        <row r="368">
          <cell r="A368">
            <v>741852</v>
          </cell>
          <cell r="E368">
            <v>852</v>
          </cell>
          <cell r="F368" t="str">
            <v>P6N4</v>
          </cell>
        </row>
        <row r="369">
          <cell r="A369">
            <v>963074</v>
          </cell>
          <cell r="E369">
            <v>174</v>
          </cell>
          <cell r="F369" t="str">
            <v>2J0H</v>
          </cell>
        </row>
        <row r="370">
          <cell r="A370">
            <v>185296</v>
          </cell>
          <cell r="E370">
            <v>296</v>
          </cell>
          <cell r="F370" t="str">
            <v>FWDU</v>
          </cell>
        </row>
        <row r="371">
          <cell r="A371">
            <v>307418</v>
          </cell>
          <cell r="E371">
            <v>418</v>
          </cell>
          <cell r="F371" t="str">
            <v>S9Q7</v>
          </cell>
        </row>
        <row r="372">
          <cell r="A372">
            <v>529630</v>
          </cell>
          <cell r="E372">
            <v>630</v>
          </cell>
          <cell r="F372" t="str">
            <v>5M3K</v>
          </cell>
        </row>
        <row r="373">
          <cell r="A373">
            <v>7418</v>
          </cell>
          <cell r="E373">
            <v>852</v>
          </cell>
          <cell r="F373" t="str">
            <v>IZGX</v>
          </cell>
        </row>
        <row r="374">
          <cell r="A374">
            <v>9630</v>
          </cell>
          <cell r="E374">
            <v>174</v>
          </cell>
          <cell r="F374" t="str">
            <v>VCTA</v>
          </cell>
        </row>
        <row r="375">
          <cell r="A375">
            <v>1852</v>
          </cell>
          <cell r="E375">
            <v>296</v>
          </cell>
          <cell r="F375" t="str">
            <v>8P6N</v>
          </cell>
        </row>
        <row r="376">
          <cell r="A376">
            <v>307418</v>
          </cell>
          <cell r="E376">
            <v>418</v>
          </cell>
          <cell r="F376" t="str">
            <v>L2J0</v>
          </cell>
        </row>
        <row r="377">
          <cell r="A377">
            <v>529630</v>
          </cell>
          <cell r="E377">
            <v>630</v>
          </cell>
          <cell r="F377" t="str">
            <v>YFWD</v>
          </cell>
        </row>
        <row r="378">
          <cell r="A378">
            <v>741852</v>
          </cell>
          <cell r="E378">
            <v>852</v>
          </cell>
          <cell r="F378" t="str">
            <v>BS9Q</v>
          </cell>
        </row>
        <row r="379">
          <cell r="A379">
            <v>9630</v>
          </cell>
          <cell r="E379">
            <v>174</v>
          </cell>
          <cell r="F379" t="str">
            <v>O5M3</v>
          </cell>
        </row>
        <row r="380">
          <cell r="A380">
            <v>1852</v>
          </cell>
          <cell r="E380">
            <v>296</v>
          </cell>
          <cell r="F380" t="str">
            <v>1IZG</v>
          </cell>
        </row>
        <row r="381">
          <cell r="A381">
            <v>307418</v>
          </cell>
          <cell r="E381">
            <v>418</v>
          </cell>
          <cell r="F381" t="str">
            <v>EVCT</v>
          </cell>
        </row>
        <row r="382">
          <cell r="A382">
            <v>529630</v>
          </cell>
          <cell r="E382">
            <v>630</v>
          </cell>
          <cell r="F382" t="str">
            <v>R8P6</v>
          </cell>
        </row>
        <row r="383">
          <cell r="A383">
            <v>741852</v>
          </cell>
          <cell r="E383">
            <v>852</v>
          </cell>
          <cell r="F383" t="str">
            <v>4L2J</v>
          </cell>
        </row>
        <row r="384">
          <cell r="A384">
            <v>9630</v>
          </cell>
          <cell r="E384">
            <v>174</v>
          </cell>
          <cell r="F384" t="str">
            <v>HYFW</v>
          </cell>
        </row>
        <row r="385">
          <cell r="A385">
            <v>1852</v>
          </cell>
          <cell r="E385">
            <v>296</v>
          </cell>
          <cell r="F385" t="str">
            <v>UBS9</v>
          </cell>
        </row>
        <row r="386">
          <cell r="A386">
            <v>3074</v>
          </cell>
          <cell r="E386">
            <v>418</v>
          </cell>
          <cell r="F386" t="str">
            <v>7O5M</v>
          </cell>
        </row>
        <row r="387">
          <cell r="A387">
            <v>5296</v>
          </cell>
          <cell r="E387">
            <v>630</v>
          </cell>
          <cell r="F387" t="str">
            <v>K1IZ</v>
          </cell>
        </row>
        <row r="388">
          <cell r="A388">
            <v>7418</v>
          </cell>
          <cell r="E388">
            <v>852</v>
          </cell>
          <cell r="F388" t="str">
            <v>XEVC</v>
          </cell>
        </row>
        <row r="389">
          <cell r="A389">
            <v>963074</v>
          </cell>
          <cell r="E389">
            <v>174</v>
          </cell>
          <cell r="F389" t="str">
            <v>AR8P</v>
          </cell>
        </row>
        <row r="390">
          <cell r="A390">
            <v>185296</v>
          </cell>
          <cell r="E390">
            <v>296</v>
          </cell>
          <cell r="F390" t="str">
            <v>N4L2</v>
          </cell>
        </row>
        <row r="391">
          <cell r="A391">
            <v>307418</v>
          </cell>
          <cell r="E391">
            <v>418</v>
          </cell>
          <cell r="F391" t="str">
            <v>0HYF</v>
          </cell>
        </row>
        <row r="392">
          <cell r="A392">
            <v>529630</v>
          </cell>
          <cell r="E392">
            <v>630</v>
          </cell>
          <cell r="F392" t="str">
            <v>DUBS</v>
          </cell>
        </row>
        <row r="393">
          <cell r="A393">
            <v>741852</v>
          </cell>
          <cell r="E393">
            <v>852</v>
          </cell>
          <cell r="F393" t="str">
            <v>Q7O5</v>
          </cell>
        </row>
        <row r="394">
          <cell r="A394">
            <v>963074</v>
          </cell>
          <cell r="E394">
            <v>174</v>
          </cell>
          <cell r="F394" t="str">
            <v>3K1I</v>
          </cell>
        </row>
        <row r="395">
          <cell r="A395">
            <v>185296</v>
          </cell>
          <cell r="E395">
            <v>296</v>
          </cell>
          <cell r="F395" t="str">
            <v>GXEV</v>
          </cell>
        </row>
        <row r="396">
          <cell r="A396">
            <v>307418</v>
          </cell>
          <cell r="E396">
            <v>418</v>
          </cell>
          <cell r="F396" t="str">
            <v>TAR8</v>
          </cell>
        </row>
        <row r="397">
          <cell r="A397">
            <v>529630</v>
          </cell>
          <cell r="E397">
            <v>630</v>
          </cell>
          <cell r="F397" t="str">
            <v>6N4L</v>
          </cell>
        </row>
        <row r="398">
          <cell r="A398">
            <v>741852</v>
          </cell>
          <cell r="E398">
            <v>852</v>
          </cell>
          <cell r="F398" t="str">
            <v>J0HY</v>
          </cell>
        </row>
        <row r="399">
          <cell r="A399">
            <v>963074</v>
          </cell>
          <cell r="E399">
            <v>174</v>
          </cell>
          <cell r="F399" t="str">
            <v>WDUB</v>
          </cell>
        </row>
        <row r="400">
          <cell r="A400">
            <v>185296</v>
          </cell>
          <cell r="E400">
            <v>296</v>
          </cell>
          <cell r="F400" t="str">
            <v>9Q7O</v>
          </cell>
        </row>
        <row r="401">
          <cell r="A401">
            <v>307418</v>
          </cell>
          <cell r="E401">
            <v>418</v>
          </cell>
          <cell r="F401" t="str">
            <v>M3K1</v>
          </cell>
        </row>
        <row r="402">
          <cell r="A402">
            <v>529630</v>
          </cell>
          <cell r="E402">
            <v>630</v>
          </cell>
          <cell r="F402" t="str">
            <v>ZGXE</v>
          </cell>
        </row>
        <row r="403">
          <cell r="A403">
            <v>741852</v>
          </cell>
          <cell r="E403">
            <v>852</v>
          </cell>
          <cell r="F403" t="str">
            <v>CTAR</v>
          </cell>
        </row>
        <row r="404">
          <cell r="A404">
            <v>963074</v>
          </cell>
          <cell r="E404">
            <v>174</v>
          </cell>
          <cell r="F404" t="str">
            <v>P6N4</v>
          </cell>
        </row>
        <row r="405">
          <cell r="A405">
            <v>185296</v>
          </cell>
          <cell r="E405">
            <v>296</v>
          </cell>
          <cell r="F405" t="str">
            <v>2J0H</v>
          </cell>
        </row>
        <row r="406">
          <cell r="A406">
            <v>307418</v>
          </cell>
          <cell r="E406">
            <v>418</v>
          </cell>
          <cell r="F406" t="str">
            <v>FWDU</v>
          </cell>
        </row>
        <row r="407">
          <cell r="A407">
            <v>529630</v>
          </cell>
          <cell r="E407">
            <v>630</v>
          </cell>
          <cell r="F407" t="str">
            <v>S9Q7</v>
          </cell>
        </row>
        <row r="408">
          <cell r="A408">
            <v>741852</v>
          </cell>
          <cell r="E408">
            <v>852</v>
          </cell>
          <cell r="F408" t="str">
            <v>5M3K</v>
          </cell>
        </row>
        <row r="409">
          <cell r="A409">
            <v>963074</v>
          </cell>
          <cell r="E409">
            <v>174</v>
          </cell>
          <cell r="F409" t="str">
            <v>IZGX</v>
          </cell>
        </row>
        <row r="410">
          <cell r="A410">
            <v>185296</v>
          </cell>
          <cell r="E410">
            <v>296</v>
          </cell>
          <cell r="F410" t="str">
            <v>VCTA</v>
          </cell>
        </row>
        <row r="411">
          <cell r="A411">
            <v>3074</v>
          </cell>
          <cell r="E411">
            <v>418</v>
          </cell>
          <cell r="F411" t="str">
            <v>8P6N</v>
          </cell>
        </row>
        <row r="412">
          <cell r="A412">
            <v>5296</v>
          </cell>
          <cell r="E412">
            <v>630</v>
          </cell>
          <cell r="F412" t="str">
            <v>L2J0</v>
          </cell>
        </row>
        <row r="413">
          <cell r="A413">
            <v>7418</v>
          </cell>
          <cell r="E413">
            <v>852</v>
          </cell>
          <cell r="F413" t="str">
            <v>YFWD</v>
          </cell>
        </row>
        <row r="414">
          <cell r="A414">
            <v>9630</v>
          </cell>
          <cell r="E414">
            <v>174</v>
          </cell>
          <cell r="F414" t="str">
            <v>BS9Q</v>
          </cell>
        </row>
        <row r="415">
          <cell r="A415">
            <v>1852</v>
          </cell>
          <cell r="E415">
            <v>296</v>
          </cell>
          <cell r="F415" t="str">
            <v>O5M3</v>
          </cell>
        </row>
        <row r="416">
          <cell r="A416">
            <v>3074</v>
          </cell>
          <cell r="E416">
            <v>418</v>
          </cell>
          <cell r="F416" t="str">
            <v>1IZG</v>
          </cell>
        </row>
        <row r="417">
          <cell r="A417">
            <v>5296</v>
          </cell>
          <cell r="E417">
            <v>630</v>
          </cell>
          <cell r="F417" t="str">
            <v>EVCT</v>
          </cell>
        </row>
        <row r="418">
          <cell r="A418">
            <v>7418</v>
          </cell>
          <cell r="E418">
            <v>852</v>
          </cell>
          <cell r="F418" t="str">
            <v>R8P6</v>
          </cell>
        </row>
        <row r="419">
          <cell r="A419">
            <v>9630</v>
          </cell>
          <cell r="E419">
            <v>174</v>
          </cell>
          <cell r="F419" t="str">
            <v>4L2J</v>
          </cell>
        </row>
        <row r="420">
          <cell r="A420">
            <v>1852</v>
          </cell>
          <cell r="E420">
            <v>296</v>
          </cell>
          <cell r="F420" t="str">
            <v>HYFW</v>
          </cell>
        </row>
        <row r="421">
          <cell r="A421">
            <v>3074</v>
          </cell>
          <cell r="E421">
            <v>418</v>
          </cell>
          <cell r="F421" t="str">
            <v>UBS9</v>
          </cell>
        </row>
        <row r="422">
          <cell r="A422">
            <v>5296</v>
          </cell>
          <cell r="E422">
            <v>630</v>
          </cell>
          <cell r="F422" t="str">
            <v>7O5M</v>
          </cell>
        </row>
        <row r="423">
          <cell r="A423">
            <v>7418</v>
          </cell>
          <cell r="E423">
            <v>852</v>
          </cell>
          <cell r="F423" t="str">
            <v>K1IZ</v>
          </cell>
        </row>
        <row r="424">
          <cell r="A424">
            <v>9630</v>
          </cell>
          <cell r="E424">
            <v>174</v>
          </cell>
          <cell r="F424" t="str">
            <v>XEVC</v>
          </cell>
        </row>
        <row r="425">
          <cell r="A425">
            <v>1852</v>
          </cell>
          <cell r="E425">
            <v>296</v>
          </cell>
          <cell r="F425" t="str">
            <v>AR8P</v>
          </cell>
        </row>
        <row r="426">
          <cell r="A426">
            <v>3074</v>
          </cell>
          <cell r="E426">
            <v>418</v>
          </cell>
          <cell r="F426" t="str">
            <v>N4L2</v>
          </cell>
        </row>
        <row r="427">
          <cell r="A427">
            <v>529630</v>
          </cell>
          <cell r="E427">
            <v>630</v>
          </cell>
          <cell r="F427" t="str">
            <v>0HYF</v>
          </cell>
        </row>
        <row r="428">
          <cell r="A428">
            <v>741852</v>
          </cell>
          <cell r="E428">
            <v>852</v>
          </cell>
          <cell r="F428" t="str">
            <v>DUBS</v>
          </cell>
        </row>
        <row r="429">
          <cell r="A429">
            <v>963074</v>
          </cell>
          <cell r="E429">
            <v>174</v>
          </cell>
          <cell r="F429" t="str">
            <v>Q7O5</v>
          </cell>
        </row>
        <row r="430">
          <cell r="A430">
            <v>1852</v>
          </cell>
          <cell r="E430">
            <v>296</v>
          </cell>
          <cell r="F430" t="str">
            <v>3K1I</v>
          </cell>
        </row>
        <row r="431">
          <cell r="A431">
            <v>3074</v>
          </cell>
          <cell r="E431">
            <v>418</v>
          </cell>
          <cell r="F431" t="str">
            <v>GXEV</v>
          </cell>
        </row>
        <row r="432">
          <cell r="A432">
            <v>529630</v>
          </cell>
          <cell r="E432">
            <v>630</v>
          </cell>
          <cell r="F432" t="str">
            <v>TAR8</v>
          </cell>
        </row>
        <row r="433">
          <cell r="A433">
            <v>74185</v>
          </cell>
          <cell r="E433">
            <v>852</v>
          </cell>
          <cell r="F433" t="str">
            <v>6N4L</v>
          </cell>
        </row>
        <row r="434">
          <cell r="A434">
            <v>96307</v>
          </cell>
          <cell r="E434">
            <v>174</v>
          </cell>
          <cell r="F434" t="str">
            <v>J0HY</v>
          </cell>
        </row>
        <row r="435">
          <cell r="A435">
            <v>1852</v>
          </cell>
          <cell r="E435">
            <v>296</v>
          </cell>
          <cell r="F435" t="str">
            <v>WDUB</v>
          </cell>
        </row>
        <row r="436">
          <cell r="A436">
            <v>3074</v>
          </cell>
          <cell r="E436">
            <v>418</v>
          </cell>
          <cell r="F436" t="str">
            <v>9Q7O</v>
          </cell>
        </row>
        <row r="437">
          <cell r="A437">
            <v>5296</v>
          </cell>
          <cell r="E437">
            <v>630</v>
          </cell>
          <cell r="F437" t="str">
            <v>M3K1</v>
          </cell>
        </row>
        <row r="438">
          <cell r="A438">
            <v>741852</v>
          </cell>
          <cell r="E438">
            <v>852</v>
          </cell>
          <cell r="F438" t="str">
            <v>ZGXE</v>
          </cell>
        </row>
        <row r="439">
          <cell r="A439">
            <v>963074</v>
          </cell>
          <cell r="E439">
            <v>174</v>
          </cell>
          <cell r="F439" t="str">
            <v>CTAR</v>
          </cell>
        </row>
        <row r="440">
          <cell r="A440">
            <v>185296</v>
          </cell>
          <cell r="E440">
            <v>296</v>
          </cell>
          <cell r="F440" t="str">
            <v>P6N4</v>
          </cell>
        </row>
        <row r="441">
          <cell r="A441">
            <v>3074</v>
          </cell>
          <cell r="E441">
            <v>418</v>
          </cell>
          <cell r="F441" t="str">
            <v>2J0H</v>
          </cell>
        </row>
        <row r="442">
          <cell r="A442">
            <v>5296</v>
          </cell>
          <cell r="E442">
            <v>630</v>
          </cell>
          <cell r="F442" t="str">
            <v>FWDU</v>
          </cell>
        </row>
        <row r="443">
          <cell r="A443">
            <v>741852</v>
          </cell>
          <cell r="E443">
            <v>852</v>
          </cell>
          <cell r="F443" t="str">
            <v>S9Q7</v>
          </cell>
        </row>
        <row r="444">
          <cell r="A444">
            <v>963074</v>
          </cell>
          <cell r="E444">
            <v>174</v>
          </cell>
          <cell r="F444" t="str">
            <v>5M3K</v>
          </cell>
        </row>
        <row r="445">
          <cell r="A445">
            <v>185296</v>
          </cell>
          <cell r="E445">
            <v>296</v>
          </cell>
          <cell r="F445" t="str">
            <v>IZGX</v>
          </cell>
        </row>
        <row r="446">
          <cell r="A446">
            <v>307418</v>
          </cell>
          <cell r="E446">
            <v>418</v>
          </cell>
          <cell r="F446" t="str">
            <v>VCTA</v>
          </cell>
        </row>
        <row r="447">
          <cell r="A447">
            <v>529630</v>
          </cell>
          <cell r="E447">
            <v>630</v>
          </cell>
          <cell r="F447" t="str">
            <v>8P6N</v>
          </cell>
        </row>
        <row r="448">
          <cell r="A448">
            <v>741852</v>
          </cell>
          <cell r="E448">
            <v>852</v>
          </cell>
          <cell r="F448" t="str">
            <v>L2J0</v>
          </cell>
        </row>
        <row r="449">
          <cell r="A449">
            <v>963074</v>
          </cell>
          <cell r="E449">
            <v>174</v>
          </cell>
          <cell r="F449" t="str">
            <v>YFWD</v>
          </cell>
        </row>
        <row r="450">
          <cell r="A450">
            <v>1852</v>
          </cell>
          <cell r="E450">
            <v>296</v>
          </cell>
          <cell r="F450" t="str">
            <v>BS9Q</v>
          </cell>
        </row>
        <row r="451">
          <cell r="A451">
            <v>3074</v>
          </cell>
          <cell r="E451">
            <v>418</v>
          </cell>
          <cell r="F451" t="str">
            <v>O5M3</v>
          </cell>
        </row>
        <row r="452">
          <cell r="A452">
            <v>5296</v>
          </cell>
          <cell r="E452">
            <v>630</v>
          </cell>
          <cell r="F452" t="str">
            <v>1IZG</v>
          </cell>
        </row>
        <row r="453">
          <cell r="A453">
            <v>7418</v>
          </cell>
          <cell r="E453">
            <v>852</v>
          </cell>
          <cell r="F453" t="str">
            <v>EVCT</v>
          </cell>
        </row>
        <row r="454">
          <cell r="A454">
            <v>9630</v>
          </cell>
          <cell r="E454">
            <v>174</v>
          </cell>
          <cell r="F454" t="str">
            <v>R8P6</v>
          </cell>
        </row>
        <row r="455">
          <cell r="A455">
            <v>185296</v>
          </cell>
          <cell r="E455">
            <v>296</v>
          </cell>
          <cell r="F455" t="str">
            <v>4L2J</v>
          </cell>
        </row>
        <row r="456">
          <cell r="A456">
            <v>307418</v>
          </cell>
          <cell r="E456">
            <v>418</v>
          </cell>
          <cell r="F456" t="str">
            <v>HYFW</v>
          </cell>
        </row>
        <row r="457">
          <cell r="A457">
            <v>529630</v>
          </cell>
          <cell r="E457">
            <v>630</v>
          </cell>
          <cell r="F457" t="str">
            <v>UBS9</v>
          </cell>
        </row>
        <row r="458">
          <cell r="A458">
            <v>741852</v>
          </cell>
          <cell r="E458">
            <v>852</v>
          </cell>
          <cell r="F458" t="str">
            <v>7O5M</v>
          </cell>
        </row>
        <row r="459">
          <cell r="A459">
            <v>963074</v>
          </cell>
          <cell r="E459">
            <v>174</v>
          </cell>
          <cell r="F459" t="str">
            <v>K1IZ</v>
          </cell>
        </row>
        <row r="460">
          <cell r="A460">
            <v>185296</v>
          </cell>
          <cell r="E460">
            <v>296</v>
          </cell>
          <cell r="F460" t="str">
            <v>XEVC</v>
          </cell>
        </row>
        <row r="461">
          <cell r="A461">
            <v>307418</v>
          </cell>
          <cell r="E461">
            <v>418</v>
          </cell>
          <cell r="F461" t="str">
            <v>AR8P</v>
          </cell>
        </row>
        <row r="462">
          <cell r="A462">
            <v>529630</v>
          </cell>
          <cell r="E462">
            <v>630</v>
          </cell>
          <cell r="F462" t="str">
            <v>N4L2</v>
          </cell>
        </row>
        <row r="463">
          <cell r="A463">
            <v>741852</v>
          </cell>
          <cell r="E463">
            <v>852</v>
          </cell>
          <cell r="F463" t="str">
            <v>0HYF</v>
          </cell>
        </row>
        <row r="464">
          <cell r="A464">
            <v>9630</v>
          </cell>
          <cell r="E464">
            <v>174</v>
          </cell>
          <cell r="F464" t="str">
            <v>DUBS</v>
          </cell>
        </row>
        <row r="465">
          <cell r="A465">
            <v>1852</v>
          </cell>
          <cell r="E465">
            <v>296</v>
          </cell>
          <cell r="F465" t="str">
            <v>Q7O5</v>
          </cell>
        </row>
        <row r="466">
          <cell r="A466">
            <v>3074</v>
          </cell>
          <cell r="E466">
            <v>418</v>
          </cell>
          <cell r="F466" t="str">
            <v>3K1I</v>
          </cell>
        </row>
        <row r="467">
          <cell r="A467">
            <v>529630</v>
          </cell>
          <cell r="E467">
            <v>630</v>
          </cell>
          <cell r="F467" t="str">
            <v>GXEV</v>
          </cell>
        </row>
        <row r="468">
          <cell r="A468">
            <v>741852</v>
          </cell>
          <cell r="E468">
            <v>852</v>
          </cell>
          <cell r="F468" t="str">
            <v>TAR8</v>
          </cell>
        </row>
        <row r="469">
          <cell r="A469">
            <v>963074</v>
          </cell>
          <cell r="E469">
            <v>174</v>
          </cell>
          <cell r="F469" t="str">
            <v>6N4L</v>
          </cell>
        </row>
        <row r="470">
          <cell r="A470">
            <v>1852</v>
          </cell>
          <cell r="E470">
            <v>296</v>
          </cell>
          <cell r="F470" t="str">
            <v>J0HY</v>
          </cell>
        </row>
        <row r="471">
          <cell r="A471">
            <v>3074</v>
          </cell>
          <cell r="E471">
            <v>418</v>
          </cell>
          <cell r="F471" t="str">
            <v>WDUB</v>
          </cell>
        </row>
        <row r="472">
          <cell r="A472">
            <v>5296</v>
          </cell>
          <cell r="E472">
            <v>630</v>
          </cell>
          <cell r="F472" t="str">
            <v>9Q7O</v>
          </cell>
        </row>
        <row r="473">
          <cell r="A473">
            <v>7418</v>
          </cell>
          <cell r="E473">
            <v>852</v>
          </cell>
          <cell r="F473" t="str">
            <v>M3K1</v>
          </cell>
        </row>
        <row r="474">
          <cell r="A474">
            <v>9630</v>
          </cell>
          <cell r="E474">
            <v>174</v>
          </cell>
          <cell r="F474" t="str">
            <v>ZGXE</v>
          </cell>
        </row>
        <row r="475">
          <cell r="A475">
            <v>1852</v>
          </cell>
          <cell r="E475">
            <v>296</v>
          </cell>
          <cell r="F475" t="str">
            <v>CTAR</v>
          </cell>
        </row>
        <row r="476">
          <cell r="A476">
            <v>3074</v>
          </cell>
          <cell r="E476">
            <v>418</v>
          </cell>
          <cell r="F476" t="str">
            <v>P6N4</v>
          </cell>
        </row>
        <row r="477">
          <cell r="A477">
            <v>529630</v>
          </cell>
          <cell r="E477">
            <v>630</v>
          </cell>
          <cell r="F477" t="str">
            <v>2J0H</v>
          </cell>
        </row>
        <row r="478">
          <cell r="A478">
            <v>741852</v>
          </cell>
          <cell r="E478">
            <v>852</v>
          </cell>
          <cell r="F478" t="str">
            <v>FWDU</v>
          </cell>
        </row>
        <row r="479">
          <cell r="A479">
            <v>963074</v>
          </cell>
          <cell r="E479">
            <v>174</v>
          </cell>
          <cell r="F479" t="str">
            <v>S9Q7</v>
          </cell>
        </row>
        <row r="480">
          <cell r="A480">
            <v>185296</v>
          </cell>
          <cell r="E480">
            <v>296</v>
          </cell>
          <cell r="F480" t="str">
            <v>5M3K</v>
          </cell>
        </row>
        <row r="481">
          <cell r="A481">
            <v>307418</v>
          </cell>
          <cell r="E481">
            <v>418</v>
          </cell>
          <cell r="F481" t="str">
            <v>IZGX</v>
          </cell>
        </row>
        <row r="482">
          <cell r="A482">
            <v>529630</v>
          </cell>
          <cell r="E482">
            <v>630</v>
          </cell>
          <cell r="F482" t="str">
            <v>VCTA</v>
          </cell>
        </row>
        <row r="483">
          <cell r="A483">
            <v>741852</v>
          </cell>
          <cell r="E483">
            <v>852</v>
          </cell>
          <cell r="F483" t="str">
            <v>8P6N</v>
          </cell>
        </row>
        <row r="484">
          <cell r="A484">
            <v>963074</v>
          </cell>
          <cell r="E484">
            <v>174</v>
          </cell>
          <cell r="F484" t="str">
            <v>L2J0</v>
          </cell>
        </row>
        <row r="485">
          <cell r="A485">
            <v>185296</v>
          </cell>
          <cell r="E485">
            <v>296</v>
          </cell>
          <cell r="F485" t="str">
            <v>YFWD</v>
          </cell>
        </row>
        <row r="486">
          <cell r="A486">
            <v>307418</v>
          </cell>
          <cell r="E486">
            <v>418</v>
          </cell>
          <cell r="F486" t="str">
            <v>BS9Q</v>
          </cell>
        </row>
        <row r="487">
          <cell r="A487">
            <v>529630</v>
          </cell>
          <cell r="E487">
            <v>630</v>
          </cell>
          <cell r="F487" t="str">
            <v>O5M3</v>
          </cell>
        </row>
        <row r="488">
          <cell r="A488">
            <v>741852</v>
          </cell>
          <cell r="E488">
            <v>852</v>
          </cell>
          <cell r="F488" t="str">
            <v>1IZG</v>
          </cell>
        </row>
        <row r="489">
          <cell r="A489">
            <v>963074</v>
          </cell>
          <cell r="E489">
            <v>174</v>
          </cell>
          <cell r="F489" t="str">
            <v>EVCT</v>
          </cell>
        </row>
        <row r="490">
          <cell r="A490">
            <v>185296</v>
          </cell>
          <cell r="E490">
            <v>296</v>
          </cell>
          <cell r="F490" t="str">
            <v>R8P6</v>
          </cell>
        </row>
        <row r="491">
          <cell r="A491">
            <v>307418</v>
          </cell>
          <cell r="E491">
            <v>418</v>
          </cell>
          <cell r="F491" t="str">
            <v>4L2J</v>
          </cell>
        </row>
        <row r="492">
          <cell r="A492">
            <v>529630</v>
          </cell>
          <cell r="E492">
            <v>630</v>
          </cell>
          <cell r="F492" t="str">
            <v>HYFW</v>
          </cell>
        </row>
        <row r="493">
          <cell r="A493">
            <v>741852</v>
          </cell>
          <cell r="E493">
            <v>852</v>
          </cell>
          <cell r="F493" t="str">
            <v>UBS9</v>
          </cell>
        </row>
        <row r="494">
          <cell r="A494">
            <v>963074</v>
          </cell>
          <cell r="E494">
            <v>174</v>
          </cell>
          <cell r="F494" t="str">
            <v>7O5M</v>
          </cell>
        </row>
        <row r="495">
          <cell r="A495">
            <v>185296</v>
          </cell>
          <cell r="E495">
            <v>296</v>
          </cell>
          <cell r="F495" t="str">
            <v>K1IZ</v>
          </cell>
        </row>
        <row r="496">
          <cell r="A496">
            <v>307418</v>
          </cell>
          <cell r="E496">
            <v>418</v>
          </cell>
          <cell r="F496" t="str">
            <v>XEVC</v>
          </cell>
        </row>
        <row r="497">
          <cell r="A497">
            <v>529630</v>
          </cell>
          <cell r="E497">
            <v>630</v>
          </cell>
          <cell r="F497" t="str">
            <v>AR8P</v>
          </cell>
        </row>
        <row r="498">
          <cell r="A498">
            <v>741852</v>
          </cell>
          <cell r="E498">
            <v>852</v>
          </cell>
          <cell r="F498" t="str">
            <v>N4L2</v>
          </cell>
        </row>
        <row r="499">
          <cell r="A499">
            <v>963074</v>
          </cell>
          <cell r="E499">
            <v>174</v>
          </cell>
          <cell r="F499" t="str">
            <v>0HYF</v>
          </cell>
        </row>
        <row r="500">
          <cell r="A500">
            <v>185296</v>
          </cell>
          <cell r="E500">
            <v>296</v>
          </cell>
          <cell r="F500" t="str">
            <v>DUBS</v>
          </cell>
        </row>
        <row r="501">
          <cell r="A501">
            <v>307418</v>
          </cell>
          <cell r="E501">
            <v>418</v>
          </cell>
          <cell r="F501" t="str">
            <v>Q7O5</v>
          </cell>
        </row>
        <row r="502">
          <cell r="A502">
            <v>529630</v>
          </cell>
          <cell r="E502">
            <v>630</v>
          </cell>
          <cell r="F502" t="str">
            <v>3K1I</v>
          </cell>
        </row>
        <row r="503">
          <cell r="A503">
            <v>741852</v>
          </cell>
          <cell r="E503">
            <v>852</v>
          </cell>
          <cell r="F503" t="str">
            <v>GXEV</v>
          </cell>
        </row>
        <row r="504">
          <cell r="A504">
            <v>963074</v>
          </cell>
          <cell r="E504">
            <v>174</v>
          </cell>
          <cell r="F504" t="str">
            <v>TAR8</v>
          </cell>
        </row>
        <row r="505">
          <cell r="A505">
            <v>185296</v>
          </cell>
          <cell r="E505">
            <v>296</v>
          </cell>
          <cell r="F505" t="str">
            <v>6N4L</v>
          </cell>
        </row>
        <row r="506">
          <cell r="A506">
            <v>3074</v>
          </cell>
          <cell r="E506">
            <v>418</v>
          </cell>
          <cell r="F506" t="str">
            <v>J0HY</v>
          </cell>
        </row>
        <row r="507">
          <cell r="A507">
            <v>5296</v>
          </cell>
          <cell r="E507">
            <v>630</v>
          </cell>
          <cell r="F507" t="str">
            <v>WDUB</v>
          </cell>
        </row>
        <row r="508">
          <cell r="A508">
            <v>7418</v>
          </cell>
          <cell r="E508">
            <v>852</v>
          </cell>
          <cell r="F508" t="str">
            <v>9Q7O</v>
          </cell>
        </row>
        <row r="509">
          <cell r="A509">
            <v>9630</v>
          </cell>
          <cell r="E509">
            <v>174</v>
          </cell>
          <cell r="F509" t="str">
            <v>M3K1</v>
          </cell>
        </row>
        <row r="510">
          <cell r="A510">
            <v>1852</v>
          </cell>
          <cell r="E510">
            <v>296</v>
          </cell>
          <cell r="F510" t="str">
            <v>ZGXE</v>
          </cell>
        </row>
        <row r="511">
          <cell r="A511">
            <v>3074</v>
          </cell>
          <cell r="E511">
            <v>418</v>
          </cell>
          <cell r="F511" t="str">
            <v>CTAR</v>
          </cell>
        </row>
        <row r="512">
          <cell r="A512">
            <v>5296</v>
          </cell>
          <cell r="E512">
            <v>630</v>
          </cell>
          <cell r="F512" t="str">
            <v>P6N4</v>
          </cell>
        </row>
        <row r="513">
          <cell r="A513">
            <v>7418</v>
          </cell>
          <cell r="E513">
            <v>852</v>
          </cell>
          <cell r="F513" t="str">
            <v>2J0H</v>
          </cell>
        </row>
        <row r="514">
          <cell r="A514">
            <v>9630</v>
          </cell>
          <cell r="E514">
            <v>174</v>
          </cell>
          <cell r="F514" t="str">
            <v>FWDU</v>
          </cell>
        </row>
        <row r="515">
          <cell r="A515">
            <v>1852</v>
          </cell>
          <cell r="E515">
            <v>296</v>
          </cell>
          <cell r="F515" t="str">
            <v>S9Q7</v>
          </cell>
        </row>
        <row r="516">
          <cell r="A516">
            <v>3074</v>
          </cell>
          <cell r="E516">
            <v>418</v>
          </cell>
          <cell r="F516" t="str">
            <v>5M3K</v>
          </cell>
        </row>
        <row r="517">
          <cell r="A517">
            <v>5296</v>
          </cell>
          <cell r="E517">
            <v>630</v>
          </cell>
          <cell r="F517" t="str">
            <v>IZGX</v>
          </cell>
        </row>
        <row r="518">
          <cell r="A518">
            <v>7418</v>
          </cell>
          <cell r="E518">
            <v>852</v>
          </cell>
          <cell r="F518" t="str">
            <v>VCTA</v>
          </cell>
        </row>
        <row r="519">
          <cell r="A519">
            <v>963074</v>
          </cell>
          <cell r="E519">
            <v>174</v>
          </cell>
          <cell r="F519" t="str">
            <v>8P6N</v>
          </cell>
        </row>
        <row r="520">
          <cell r="A520">
            <v>185296</v>
          </cell>
          <cell r="E520">
            <v>296</v>
          </cell>
          <cell r="F520" t="str">
            <v>L2J0</v>
          </cell>
        </row>
        <row r="521">
          <cell r="A521">
            <v>3074</v>
          </cell>
          <cell r="E521">
            <v>418</v>
          </cell>
          <cell r="F521" t="str">
            <v>YFWD</v>
          </cell>
        </row>
        <row r="522">
          <cell r="A522">
            <v>5296</v>
          </cell>
          <cell r="E522">
            <v>630</v>
          </cell>
          <cell r="F522" t="str">
            <v>BS9Q</v>
          </cell>
        </row>
        <row r="523">
          <cell r="A523">
            <v>741852</v>
          </cell>
          <cell r="E523">
            <v>852</v>
          </cell>
          <cell r="F523" t="str">
            <v>O5M3</v>
          </cell>
        </row>
        <row r="524">
          <cell r="A524">
            <v>9630</v>
          </cell>
          <cell r="E524">
            <v>174</v>
          </cell>
          <cell r="F524" t="str">
            <v>1IZG</v>
          </cell>
        </row>
        <row r="525">
          <cell r="A525">
            <v>1852</v>
          </cell>
          <cell r="E525">
            <v>296</v>
          </cell>
          <cell r="F525" t="str">
            <v>EVCT</v>
          </cell>
        </row>
        <row r="526">
          <cell r="A526">
            <v>3074</v>
          </cell>
          <cell r="E526">
            <v>418</v>
          </cell>
          <cell r="F526" t="str">
            <v>R8P6</v>
          </cell>
        </row>
        <row r="527">
          <cell r="A527">
            <v>529630</v>
          </cell>
          <cell r="E527">
            <v>630</v>
          </cell>
          <cell r="F527" t="str">
            <v>4L2J</v>
          </cell>
        </row>
        <row r="528">
          <cell r="A528">
            <v>741852</v>
          </cell>
          <cell r="E528">
            <v>852</v>
          </cell>
          <cell r="F528" t="str">
            <v>HYFW</v>
          </cell>
        </row>
        <row r="529">
          <cell r="A529">
            <v>963074</v>
          </cell>
          <cell r="E529">
            <v>174</v>
          </cell>
          <cell r="F529" t="str">
            <v>UBS9</v>
          </cell>
        </row>
        <row r="530">
          <cell r="A530">
            <v>1852</v>
          </cell>
          <cell r="E530">
            <v>296</v>
          </cell>
          <cell r="F530" t="str">
            <v>7O5M</v>
          </cell>
        </row>
        <row r="531">
          <cell r="A531">
            <v>3074</v>
          </cell>
          <cell r="E531">
            <v>418</v>
          </cell>
          <cell r="F531" t="str">
            <v>K1IZ</v>
          </cell>
        </row>
        <row r="532">
          <cell r="A532">
            <v>529630</v>
          </cell>
          <cell r="E532">
            <v>630</v>
          </cell>
          <cell r="F532" t="str">
            <v>XEVC</v>
          </cell>
        </row>
        <row r="533">
          <cell r="A533">
            <v>741852</v>
          </cell>
          <cell r="E533">
            <v>852</v>
          </cell>
          <cell r="F533" t="str">
            <v>AR8P</v>
          </cell>
        </row>
        <row r="534">
          <cell r="A534">
            <v>963074</v>
          </cell>
          <cell r="E534">
            <v>174</v>
          </cell>
          <cell r="F534" t="str">
            <v>N4L2</v>
          </cell>
        </row>
        <row r="535">
          <cell r="A535">
            <v>185296</v>
          </cell>
          <cell r="E535">
            <v>296</v>
          </cell>
          <cell r="F535" t="str">
            <v>0HYF</v>
          </cell>
        </row>
        <row r="536">
          <cell r="A536">
            <v>307418</v>
          </cell>
          <cell r="E536">
            <v>418</v>
          </cell>
          <cell r="F536" t="str">
            <v>DUBS</v>
          </cell>
        </row>
        <row r="537">
          <cell r="A537">
            <v>529630</v>
          </cell>
          <cell r="E537">
            <v>630</v>
          </cell>
          <cell r="F537" t="str">
            <v>Q7O5</v>
          </cell>
        </row>
        <row r="538">
          <cell r="A538">
            <v>741852</v>
          </cell>
          <cell r="E538">
            <v>852</v>
          </cell>
          <cell r="F538" t="str">
            <v>3K1I</v>
          </cell>
        </row>
        <row r="539">
          <cell r="A539">
            <v>963074</v>
          </cell>
          <cell r="E539">
            <v>174</v>
          </cell>
          <cell r="F539" t="str">
            <v>GXEV</v>
          </cell>
        </row>
        <row r="540">
          <cell r="A540">
            <v>1852</v>
          </cell>
          <cell r="E540">
            <v>296</v>
          </cell>
          <cell r="F540" t="str">
            <v>TAR8</v>
          </cell>
        </row>
        <row r="541">
          <cell r="A541">
            <v>3074</v>
          </cell>
          <cell r="E541">
            <v>418</v>
          </cell>
          <cell r="F541" t="str">
            <v>6N4L</v>
          </cell>
        </row>
        <row r="542">
          <cell r="A542">
            <v>5296</v>
          </cell>
          <cell r="E542">
            <v>630</v>
          </cell>
          <cell r="F542" t="str">
            <v>J0HY</v>
          </cell>
        </row>
        <row r="543">
          <cell r="A543">
            <v>7418</v>
          </cell>
          <cell r="E543">
            <v>852</v>
          </cell>
          <cell r="F543" t="str">
            <v>WDUB</v>
          </cell>
        </row>
        <row r="544">
          <cell r="A544">
            <v>9630</v>
          </cell>
          <cell r="E544">
            <v>174</v>
          </cell>
          <cell r="F544" t="str">
            <v>9Q7O</v>
          </cell>
        </row>
        <row r="545">
          <cell r="A545">
            <v>185296</v>
          </cell>
          <cell r="E545">
            <v>296</v>
          </cell>
          <cell r="F545" t="str">
            <v>M3K1</v>
          </cell>
        </row>
        <row r="546">
          <cell r="A546">
            <v>307418</v>
          </cell>
          <cell r="E546">
            <v>418</v>
          </cell>
          <cell r="F546" t="str">
            <v>ZGXE</v>
          </cell>
        </row>
        <row r="547">
          <cell r="A547">
            <v>529630</v>
          </cell>
          <cell r="E547">
            <v>630</v>
          </cell>
          <cell r="F547" t="str">
            <v>CTAR</v>
          </cell>
        </row>
        <row r="548">
          <cell r="A548">
            <v>741852</v>
          </cell>
          <cell r="E548">
            <v>852</v>
          </cell>
          <cell r="F548" t="str">
            <v>P6N4</v>
          </cell>
        </row>
        <row r="549">
          <cell r="A549">
            <v>963074</v>
          </cell>
          <cell r="E549">
            <v>174</v>
          </cell>
          <cell r="F549" t="str">
            <v>2J0H</v>
          </cell>
        </row>
        <row r="550">
          <cell r="A550">
            <v>185296</v>
          </cell>
          <cell r="E550">
            <v>296</v>
          </cell>
          <cell r="F550" t="str">
            <v>FWDU</v>
          </cell>
        </row>
        <row r="551">
          <cell r="A551">
            <v>307418</v>
          </cell>
          <cell r="E551">
            <v>418</v>
          </cell>
          <cell r="F551" t="str">
            <v>S9Q7</v>
          </cell>
        </row>
        <row r="552">
          <cell r="A552">
            <v>529630</v>
          </cell>
          <cell r="E552">
            <v>630</v>
          </cell>
          <cell r="F552" t="str">
            <v>5M3K</v>
          </cell>
        </row>
        <row r="553">
          <cell r="A553">
            <v>741852</v>
          </cell>
          <cell r="E553">
            <v>852</v>
          </cell>
          <cell r="F553" t="str">
            <v>IZGX</v>
          </cell>
        </row>
        <row r="554">
          <cell r="A554">
            <v>9630</v>
          </cell>
          <cell r="E554">
            <v>174</v>
          </cell>
          <cell r="F554" t="str">
            <v>VCTA</v>
          </cell>
        </row>
        <row r="555">
          <cell r="A555">
            <v>1852</v>
          </cell>
          <cell r="E555">
            <v>296</v>
          </cell>
          <cell r="F555" t="str">
            <v>8P6N</v>
          </cell>
        </row>
        <row r="556">
          <cell r="A556">
            <v>3074</v>
          </cell>
          <cell r="E556">
            <v>418</v>
          </cell>
          <cell r="F556" t="str">
            <v>L2J0</v>
          </cell>
        </row>
        <row r="557">
          <cell r="A557">
            <v>529630</v>
          </cell>
          <cell r="E557">
            <v>630</v>
          </cell>
          <cell r="F557" t="str">
            <v>YFWD</v>
          </cell>
        </row>
        <row r="558">
          <cell r="A558">
            <v>741852</v>
          </cell>
          <cell r="E558">
            <v>852</v>
          </cell>
          <cell r="F558" t="str">
            <v>BS9Q</v>
          </cell>
        </row>
        <row r="559">
          <cell r="A559">
            <v>963074</v>
          </cell>
          <cell r="E559">
            <v>174</v>
          </cell>
          <cell r="F559" t="str">
            <v>O5M3</v>
          </cell>
        </row>
        <row r="560">
          <cell r="A560">
            <v>1852</v>
          </cell>
          <cell r="E560">
            <v>296</v>
          </cell>
          <cell r="F560" t="str">
            <v>1IZG</v>
          </cell>
        </row>
        <row r="561">
          <cell r="A561">
            <v>3074</v>
          </cell>
          <cell r="E561">
            <v>418</v>
          </cell>
          <cell r="F561" t="str">
            <v>EVCT</v>
          </cell>
        </row>
        <row r="562">
          <cell r="A562">
            <v>5296</v>
          </cell>
          <cell r="E562">
            <v>630</v>
          </cell>
          <cell r="F562" t="str">
            <v>R8P6</v>
          </cell>
        </row>
        <row r="563">
          <cell r="A563">
            <v>7418</v>
          </cell>
          <cell r="E563">
            <v>852</v>
          </cell>
          <cell r="F563" t="str">
            <v>4L2J</v>
          </cell>
        </row>
        <row r="564">
          <cell r="A564">
            <v>9630</v>
          </cell>
          <cell r="E564">
            <v>174</v>
          </cell>
          <cell r="F564" t="str">
            <v>HYFW</v>
          </cell>
        </row>
        <row r="565">
          <cell r="A565">
            <v>1852</v>
          </cell>
          <cell r="E565">
            <v>296</v>
          </cell>
          <cell r="F565" t="str">
            <v>UBS9</v>
          </cell>
        </row>
        <row r="566">
          <cell r="A566">
            <v>3074</v>
          </cell>
          <cell r="E566">
            <v>418</v>
          </cell>
          <cell r="F566" t="str">
            <v>7O5M</v>
          </cell>
        </row>
        <row r="567">
          <cell r="A567">
            <v>529630</v>
          </cell>
          <cell r="E567">
            <v>630</v>
          </cell>
          <cell r="F567" t="str">
            <v>K1IZ</v>
          </cell>
        </row>
        <row r="568">
          <cell r="A568">
            <v>741852</v>
          </cell>
          <cell r="E568">
            <v>852</v>
          </cell>
          <cell r="F568" t="str">
            <v>XEVC</v>
          </cell>
        </row>
        <row r="569">
          <cell r="A569">
            <v>963074</v>
          </cell>
          <cell r="E569">
            <v>174</v>
          </cell>
          <cell r="F569" t="str">
            <v>AR8P</v>
          </cell>
        </row>
        <row r="570">
          <cell r="A570">
            <v>185296</v>
          </cell>
          <cell r="E570">
            <v>296</v>
          </cell>
          <cell r="F570" t="str">
            <v>N4L2</v>
          </cell>
        </row>
        <row r="571">
          <cell r="A571">
            <v>307418</v>
          </cell>
          <cell r="E571">
            <v>418</v>
          </cell>
          <cell r="F571" t="str">
            <v>0HYF</v>
          </cell>
        </row>
        <row r="572">
          <cell r="A572">
            <v>529630</v>
          </cell>
          <cell r="E572">
            <v>630</v>
          </cell>
          <cell r="F572" t="str">
            <v>DUBS</v>
          </cell>
        </row>
        <row r="573">
          <cell r="A573">
            <v>741852</v>
          </cell>
          <cell r="E573">
            <v>852</v>
          </cell>
          <cell r="F573" t="str">
            <v>Q7O5</v>
          </cell>
        </row>
        <row r="574">
          <cell r="A574">
            <v>963074</v>
          </cell>
          <cell r="E574">
            <v>174</v>
          </cell>
          <cell r="F574" t="str">
            <v>3K1I</v>
          </cell>
        </row>
        <row r="575">
          <cell r="A575">
            <v>185296</v>
          </cell>
          <cell r="E575">
            <v>296</v>
          </cell>
          <cell r="F575" t="str">
            <v>GXEV</v>
          </cell>
        </row>
        <row r="576">
          <cell r="A576">
            <v>307418</v>
          </cell>
          <cell r="E576">
            <v>418</v>
          </cell>
          <cell r="F576" t="str">
            <v>TAR8</v>
          </cell>
        </row>
        <row r="577">
          <cell r="A577">
            <v>529630</v>
          </cell>
          <cell r="E577">
            <v>630</v>
          </cell>
          <cell r="F577" t="str">
            <v>6N4L</v>
          </cell>
        </row>
        <row r="578">
          <cell r="A578">
            <v>741852</v>
          </cell>
          <cell r="E578">
            <v>852</v>
          </cell>
          <cell r="F578" t="str">
            <v>J0HY</v>
          </cell>
        </row>
        <row r="579">
          <cell r="A579">
            <v>963074</v>
          </cell>
          <cell r="E579">
            <v>174</v>
          </cell>
          <cell r="F579" t="str">
            <v>WDUB</v>
          </cell>
        </row>
        <row r="580">
          <cell r="A580">
            <v>185296</v>
          </cell>
          <cell r="E580">
            <v>296</v>
          </cell>
          <cell r="F580" t="str">
            <v>9Q7O</v>
          </cell>
        </row>
        <row r="581">
          <cell r="A581">
            <v>307418</v>
          </cell>
          <cell r="E581">
            <v>418</v>
          </cell>
          <cell r="F581" t="str">
            <v>M3K1</v>
          </cell>
        </row>
        <row r="582">
          <cell r="A582">
            <v>529630</v>
          </cell>
          <cell r="E582">
            <v>630</v>
          </cell>
          <cell r="F582" t="str">
            <v>ZGXE</v>
          </cell>
        </row>
        <row r="583">
          <cell r="A583">
            <v>741852</v>
          </cell>
          <cell r="E583">
            <v>852</v>
          </cell>
          <cell r="F583" t="str">
            <v>CTAR</v>
          </cell>
        </row>
        <row r="584">
          <cell r="A584">
            <v>963074</v>
          </cell>
          <cell r="E584">
            <v>174</v>
          </cell>
          <cell r="F584" t="str">
            <v>P6N4</v>
          </cell>
        </row>
        <row r="585">
          <cell r="A585">
            <v>185296</v>
          </cell>
          <cell r="E585">
            <v>296</v>
          </cell>
          <cell r="F585" t="str">
            <v>2J0H</v>
          </cell>
        </row>
        <row r="586">
          <cell r="A586">
            <v>307418</v>
          </cell>
          <cell r="E586">
            <v>418</v>
          </cell>
          <cell r="F586" t="str">
            <v>FWDU</v>
          </cell>
        </row>
        <row r="587">
          <cell r="A587">
            <v>529630</v>
          </cell>
          <cell r="E587">
            <v>630</v>
          </cell>
          <cell r="F587" t="str">
            <v>S9Q7</v>
          </cell>
        </row>
        <row r="588">
          <cell r="A588">
            <v>741852</v>
          </cell>
          <cell r="E588">
            <v>852</v>
          </cell>
          <cell r="F588" t="str">
            <v>5M3K</v>
          </cell>
        </row>
        <row r="589">
          <cell r="A589">
            <v>963074</v>
          </cell>
          <cell r="E589">
            <v>174</v>
          </cell>
          <cell r="F589" t="str">
            <v>IZGX</v>
          </cell>
        </row>
        <row r="590">
          <cell r="A590">
            <v>185296</v>
          </cell>
          <cell r="E590">
            <v>296</v>
          </cell>
          <cell r="F590" t="str">
            <v>VCTA</v>
          </cell>
        </row>
        <row r="591">
          <cell r="A591">
            <v>307418</v>
          </cell>
          <cell r="E591">
            <v>418</v>
          </cell>
          <cell r="F591" t="str">
            <v>8P6N</v>
          </cell>
        </row>
        <row r="592">
          <cell r="A592">
            <v>529630</v>
          </cell>
          <cell r="E592">
            <v>630</v>
          </cell>
          <cell r="F592" t="str">
            <v>L2J0</v>
          </cell>
        </row>
        <row r="593">
          <cell r="A593">
            <v>741852</v>
          </cell>
          <cell r="E593">
            <v>852</v>
          </cell>
          <cell r="F593" t="str">
            <v>YFWD</v>
          </cell>
        </row>
        <row r="594">
          <cell r="A594">
            <v>963074</v>
          </cell>
          <cell r="E594">
            <v>174</v>
          </cell>
          <cell r="F594" t="str">
            <v>BS9Q</v>
          </cell>
        </row>
        <row r="595">
          <cell r="A595">
            <v>185296</v>
          </cell>
          <cell r="E595">
            <v>296</v>
          </cell>
          <cell r="F595" t="str">
            <v>O5M3</v>
          </cell>
        </row>
        <row r="596">
          <cell r="A596">
            <v>307418</v>
          </cell>
          <cell r="E596">
            <v>418</v>
          </cell>
          <cell r="F596" t="str">
            <v>1IZG</v>
          </cell>
        </row>
        <row r="597">
          <cell r="A597">
            <v>5296</v>
          </cell>
          <cell r="E597">
            <v>630</v>
          </cell>
          <cell r="F597" t="str">
            <v>EVCT</v>
          </cell>
        </row>
        <row r="598">
          <cell r="A598">
            <v>7418</v>
          </cell>
          <cell r="E598">
            <v>852</v>
          </cell>
          <cell r="F598" t="str">
            <v>R8P6</v>
          </cell>
        </row>
        <row r="599">
          <cell r="A599">
            <v>9630</v>
          </cell>
          <cell r="E599">
            <v>174</v>
          </cell>
          <cell r="F599" t="str">
            <v>4L2J</v>
          </cell>
        </row>
        <row r="600">
          <cell r="A600">
            <v>1852</v>
          </cell>
          <cell r="E600">
            <v>296</v>
          </cell>
          <cell r="F600" t="str">
            <v>HYFW</v>
          </cell>
        </row>
        <row r="601">
          <cell r="A601">
            <v>3074</v>
          </cell>
          <cell r="E601">
            <v>418</v>
          </cell>
          <cell r="F601" t="str">
            <v>UBS9</v>
          </cell>
        </row>
        <row r="602">
          <cell r="A602">
            <v>5296</v>
          </cell>
          <cell r="E602">
            <v>630</v>
          </cell>
          <cell r="F602" t="str">
            <v>7O5M</v>
          </cell>
        </row>
        <row r="603">
          <cell r="A603">
            <v>7418</v>
          </cell>
          <cell r="E603">
            <v>852</v>
          </cell>
          <cell r="F603" t="str">
            <v>K1IZ</v>
          </cell>
        </row>
        <row r="604">
          <cell r="A604">
            <v>9630</v>
          </cell>
          <cell r="E604">
            <v>174</v>
          </cell>
          <cell r="F604" t="str">
            <v>XEVC</v>
          </cell>
        </row>
        <row r="605">
          <cell r="A605">
            <v>1852</v>
          </cell>
          <cell r="E605">
            <v>296</v>
          </cell>
          <cell r="F605" t="str">
            <v>AR8P</v>
          </cell>
        </row>
        <row r="606">
          <cell r="A606">
            <v>3074</v>
          </cell>
          <cell r="E606">
            <v>418</v>
          </cell>
          <cell r="F606" t="str">
            <v>N4L2</v>
          </cell>
        </row>
        <row r="607">
          <cell r="A607">
            <v>5296</v>
          </cell>
          <cell r="E607">
            <v>630</v>
          </cell>
          <cell r="F607" t="str">
            <v>0HYF</v>
          </cell>
        </row>
        <row r="608">
          <cell r="A608">
            <v>7418</v>
          </cell>
          <cell r="E608">
            <v>852</v>
          </cell>
          <cell r="F608" t="str">
            <v>DUBS</v>
          </cell>
        </row>
        <row r="609">
          <cell r="A609">
            <v>9630</v>
          </cell>
          <cell r="E609">
            <v>174</v>
          </cell>
          <cell r="F609" t="str">
            <v>Q7O5</v>
          </cell>
        </row>
        <row r="610">
          <cell r="A610">
            <v>1852</v>
          </cell>
          <cell r="E610">
            <v>296</v>
          </cell>
          <cell r="F610" t="str">
            <v>3K1I</v>
          </cell>
        </row>
        <row r="611">
          <cell r="A611">
            <v>3074</v>
          </cell>
          <cell r="E611">
            <v>418</v>
          </cell>
          <cell r="F611" t="str">
            <v>GXEV</v>
          </cell>
        </row>
        <row r="612">
          <cell r="A612">
            <v>5296</v>
          </cell>
          <cell r="E612">
            <v>630</v>
          </cell>
          <cell r="F612" t="str">
            <v>TAR8</v>
          </cell>
        </row>
        <row r="613">
          <cell r="A613">
            <v>741852</v>
          </cell>
          <cell r="E613">
            <v>852</v>
          </cell>
          <cell r="F613" t="str">
            <v>6N4L</v>
          </cell>
        </row>
        <row r="614">
          <cell r="A614">
            <v>963074</v>
          </cell>
          <cell r="E614">
            <v>174</v>
          </cell>
          <cell r="F614" t="str">
            <v>J0HY</v>
          </cell>
        </row>
        <row r="615">
          <cell r="A615">
            <v>1852</v>
          </cell>
          <cell r="E615">
            <v>296</v>
          </cell>
          <cell r="F615" t="str">
            <v>WDUB</v>
          </cell>
        </row>
        <row r="616">
          <cell r="A616">
            <v>3074</v>
          </cell>
          <cell r="E616">
            <v>418</v>
          </cell>
          <cell r="F616" t="str">
            <v>9Q7O</v>
          </cell>
        </row>
        <row r="617">
          <cell r="A617">
            <v>529630</v>
          </cell>
          <cell r="E617">
            <v>630</v>
          </cell>
          <cell r="F617" t="str">
            <v>M3K1</v>
          </cell>
        </row>
        <row r="618">
          <cell r="A618">
            <v>74185</v>
          </cell>
          <cell r="E618">
            <v>852</v>
          </cell>
          <cell r="F618" t="str">
            <v>ZGXE</v>
          </cell>
        </row>
        <row r="619">
          <cell r="A619">
            <v>96307</v>
          </cell>
          <cell r="E619">
            <v>174</v>
          </cell>
          <cell r="F619" t="str">
            <v>CTAR</v>
          </cell>
        </row>
        <row r="620">
          <cell r="A620">
            <v>1852</v>
          </cell>
          <cell r="E620">
            <v>296</v>
          </cell>
          <cell r="F620" t="str">
            <v>P6N4</v>
          </cell>
        </row>
        <row r="621">
          <cell r="A621">
            <v>3074</v>
          </cell>
          <cell r="E621">
            <v>418</v>
          </cell>
          <cell r="F621" t="str">
            <v>2J0H</v>
          </cell>
        </row>
        <row r="622">
          <cell r="A622">
            <v>5296</v>
          </cell>
          <cell r="E622">
            <v>630</v>
          </cell>
          <cell r="F622" t="str">
            <v>FWDU</v>
          </cell>
        </row>
        <row r="623">
          <cell r="A623">
            <v>741852</v>
          </cell>
          <cell r="E623">
            <v>852</v>
          </cell>
          <cell r="F623" t="str">
            <v>S9Q7</v>
          </cell>
        </row>
        <row r="624">
          <cell r="A624">
            <v>963074</v>
          </cell>
          <cell r="E624">
            <v>174</v>
          </cell>
          <cell r="F624" t="str">
            <v>5M3K</v>
          </cell>
        </row>
        <row r="625">
          <cell r="A625">
            <v>185296</v>
          </cell>
          <cell r="E625">
            <v>296</v>
          </cell>
          <cell r="F625" t="str">
            <v>IZGX</v>
          </cell>
        </row>
        <row r="626">
          <cell r="A626">
            <v>3074</v>
          </cell>
          <cell r="E626">
            <v>418</v>
          </cell>
          <cell r="F626" t="str">
            <v>VCTA</v>
          </cell>
        </row>
        <row r="627">
          <cell r="A627">
            <v>5296</v>
          </cell>
          <cell r="E627">
            <v>630</v>
          </cell>
          <cell r="F627" t="str">
            <v>8P6N</v>
          </cell>
        </row>
        <row r="628">
          <cell r="A628">
            <v>741852</v>
          </cell>
          <cell r="E628">
            <v>852</v>
          </cell>
          <cell r="F628" t="str">
            <v>L2J0</v>
          </cell>
        </row>
        <row r="629">
          <cell r="A629">
            <v>963074</v>
          </cell>
          <cell r="E629">
            <v>174</v>
          </cell>
          <cell r="F629" t="str">
            <v>YFWD</v>
          </cell>
        </row>
        <row r="630">
          <cell r="A630">
            <v>185296</v>
          </cell>
          <cell r="E630">
            <v>296</v>
          </cell>
          <cell r="F630" t="str">
            <v>BS9Q</v>
          </cell>
        </row>
        <row r="631">
          <cell r="A631">
            <v>307418</v>
          </cell>
          <cell r="E631">
            <v>418</v>
          </cell>
          <cell r="F631" t="str">
            <v>O5M3</v>
          </cell>
        </row>
        <row r="632">
          <cell r="A632">
            <v>529630</v>
          </cell>
          <cell r="E632">
            <v>630</v>
          </cell>
          <cell r="F632" t="str">
            <v>1IZG</v>
          </cell>
        </row>
        <row r="633">
          <cell r="A633">
            <v>741852</v>
          </cell>
          <cell r="E633">
            <v>852</v>
          </cell>
          <cell r="F633" t="str">
            <v>EVCT</v>
          </cell>
        </row>
        <row r="634">
          <cell r="A634">
            <v>963074</v>
          </cell>
          <cell r="E634">
            <v>174</v>
          </cell>
          <cell r="F634" t="str">
            <v>R8P6</v>
          </cell>
        </row>
        <row r="635">
          <cell r="A635">
            <v>1852</v>
          </cell>
          <cell r="E635">
            <v>296</v>
          </cell>
          <cell r="F635" t="str">
            <v>4L2J</v>
          </cell>
        </row>
        <row r="636">
          <cell r="A636">
            <v>3074</v>
          </cell>
          <cell r="E636">
            <v>418</v>
          </cell>
          <cell r="F636" t="str">
            <v>HYFW</v>
          </cell>
        </row>
        <row r="637">
          <cell r="A637">
            <v>5296</v>
          </cell>
          <cell r="E637">
            <v>630</v>
          </cell>
          <cell r="F637" t="str">
            <v>UBS9</v>
          </cell>
        </row>
        <row r="638">
          <cell r="A638">
            <v>7418</v>
          </cell>
          <cell r="E638">
            <v>852</v>
          </cell>
          <cell r="F638" t="str">
            <v>7O5M</v>
          </cell>
        </row>
        <row r="639">
          <cell r="A639">
            <v>9630</v>
          </cell>
          <cell r="E639">
            <v>174</v>
          </cell>
          <cell r="F639" t="str">
            <v>K1IZ</v>
          </cell>
        </row>
        <row r="640">
          <cell r="A640">
            <v>185296</v>
          </cell>
          <cell r="E640">
            <v>296</v>
          </cell>
          <cell r="F640" t="str">
            <v>XEVC</v>
          </cell>
        </row>
        <row r="641">
          <cell r="A641">
            <v>307418</v>
          </cell>
          <cell r="E641">
            <v>418</v>
          </cell>
          <cell r="F641" t="str">
            <v>AR8P</v>
          </cell>
        </row>
        <row r="642">
          <cell r="A642">
            <v>529630</v>
          </cell>
          <cell r="E642">
            <v>630</v>
          </cell>
          <cell r="F642" t="str">
            <v>N4L2</v>
          </cell>
        </row>
        <row r="643">
          <cell r="A643">
            <v>741852</v>
          </cell>
          <cell r="E643">
            <v>852</v>
          </cell>
          <cell r="F643" t="str">
            <v>0HYF</v>
          </cell>
        </row>
        <row r="644">
          <cell r="A644">
            <v>963074</v>
          </cell>
          <cell r="E644">
            <v>174</v>
          </cell>
          <cell r="F644" t="str">
            <v>DUBS</v>
          </cell>
        </row>
        <row r="645">
          <cell r="A645">
            <v>185296</v>
          </cell>
          <cell r="E645">
            <v>296</v>
          </cell>
          <cell r="F645" t="str">
            <v>Q7O5</v>
          </cell>
        </row>
        <row r="646">
          <cell r="A646">
            <v>307418</v>
          </cell>
          <cell r="E646">
            <v>418</v>
          </cell>
          <cell r="F646" t="str">
            <v>3K1I</v>
          </cell>
        </row>
        <row r="647">
          <cell r="A647">
            <v>529630</v>
          </cell>
          <cell r="E647">
            <v>630</v>
          </cell>
          <cell r="F647" t="str">
            <v>GXEV</v>
          </cell>
        </row>
        <row r="648">
          <cell r="A648">
            <v>741852</v>
          </cell>
          <cell r="E648">
            <v>852</v>
          </cell>
          <cell r="F648" t="str">
            <v>TAR8</v>
          </cell>
        </row>
        <row r="649">
          <cell r="A649">
            <v>9630</v>
          </cell>
          <cell r="E649">
            <v>174</v>
          </cell>
          <cell r="F649" t="str">
            <v>6N4L</v>
          </cell>
        </row>
        <row r="650">
          <cell r="A650">
            <v>1852</v>
          </cell>
          <cell r="E650">
            <v>296</v>
          </cell>
          <cell r="F650" t="str">
            <v>J0HY</v>
          </cell>
        </row>
        <row r="651">
          <cell r="A651">
            <v>3074</v>
          </cell>
          <cell r="E651">
            <v>418</v>
          </cell>
          <cell r="F651" t="str">
            <v>WDUB</v>
          </cell>
        </row>
        <row r="652">
          <cell r="A652">
            <v>529630</v>
          </cell>
          <cell r="E652">
            <v>630</v>
          </cell>
          <cell r="F652" t="str">
            <v>9Q7O</v>
          </cell>
        </row>
        <row r="653">
          <cell r="A653">
            <v>741852</v>
          </cell>
          <cell r="E653">
            <v>852</v>
          </cell>
          <cell r="F653" t="str">
            <v>M3K1</v>
          </cell>
        </row>
        <row r="654">
          <cell r="A654">
            <v>963074</v>
          </cell>
          <cell r="E654">
            <v>174</v>
          </cell>
          <cell r="F654" t="str">
            <v>ZGXE</v>
          </cell>
        </row>
        <row r="655">
          <cell r="A655">
            <v>1852</v>
          </cell>
          <cell r="E655">
            <v>296</v>
          </cell>
          <cell r="F655" t="str">
            <v>CTAR</v>
          </cell>
        </row>
        <row r="656">
          <cell r="A656">
            <v>3074</v>
          </cell>
          <cell r="E656">
            <v>418</v>
          </cell>
          <cell r="F656" t="str">
            <v>P6N4</v>
          </cell>
        </row>
        <row r="657">
          <cell r="A657">
            <v>5296</v>
          </cell>
          <cell r="E657">
            <v>630</v>
          </cell>
          <cell r="F657" t="str">
            <v>2J0H</v>
          </cell>
        </row>
        <row r="658">
          <cell r="A658">
            <v>7418</v>
          </cell>
          <cell r="E658">
            <v>852</v>
          </cell>
          <cell r="F658" t="str">
            <v>FWDU</v>
          </cell>
        </row>
        <row r="659">
          <cell r="A659">
            <v>9630</v>
          </cell>
          <cell r="E659">
            <v>174</v>
          </cell>
          <cell r="F659" t="str">
            <v>S9Q7</v>
          </cell>
        </row>
        <row r="660">
          <cell r="A660">
            <v>1852</v>
          </cell>
          <cell r="E660">
            <v>296</v>
          </cell>
          <cell r="F660" t="str">
            <v>5M3K</v>
          </cell>
        </row>
        <row r="661">
          <cell r="A661">
            <v>3074</v>
          </cell>
          <cell r="E661">
            <v>418</v>
          </cell>
          <cell r="F661" t="str">
            <v>IZGX</v>
          </cell>
        </row>
        <row r="662">
          <cell r="A662">
            <v>529630</v>
          </cell>
          <cell r="E662">
            <v>630</v>
          </cell>
          <cell r="F662" t="str">
            <v>VCTA</v>
          </cell>
        </row>
        <row r="663">
          <cell r="A663">
            <v>741852</v>
          </cell>
          <cell r="E663">
            <v>852</v>
          </cell>
          <cell r="F663" t="str">
            <v>8P6N</v>
          </cell>
        </row>
        <row r="664">
          <cell r="A664">
            <v>963074</v>
          </cell>
          <cell r="E664">
            <v>174</v>
          </cell>
          <cell r="F664" t="str">
            <v>L2J0</v>
          </cell>
        </row>
        <row r="665">
          <cell r="A665">
            <v>185296</v>
          </cell>
          <cell r="E665">
            <v>296</v>
          </cell>
          <cell r="F665" t="str">
            <v>YFWD</v>
          </cell>
        </row>
        <row r="666">
          <cell r="A666">
            <v>307418</v>
          </cell>
          <cell r="E666">
            <v>418</v>
          </cell>
          <cell r="F666" t="str">
            <v>BS9Q</v>
          </cell>
        </row>
        <row r="667">
          <cell r="A667">
            <v>529630</v>
          </cell>
          <cell r="E667">
            <v>630</v>
          </cell>
          <cell r="F667" t="str">
            <v>O5M3</v>
          </cell>
        </row>
        <row r="668">
          <cell r="A668">
            <v>741852</v>
          </cell>
          <cell r="E668">
            <v>852</v>
          </cell>
          <cell r="F668" t="str">
            <v>1IZG</v>
          </cell>
        </row>
        <row r="669">
          <cell r="A669">
            <v>963074</v>
          </cell>
          <cell r="E669">
            <v>174</v>
          </cell>
          <cell r="F669" t="str">
            <v>EVCT</v>
          </cell>
        </row>
        <row r="670">
          <cell r="A670">
            <v>185296</v>
          </cell>
          <cell r="E670">
            <v>296</v>
          </cell>
          <cell r="F670" t="str">
            <v>R8P6</v>
          </cell>
        </row>
        <row r="671">
          <cell r="A671">
            <v>307418</v>
          </cell>
          <cell r="E671">
            <v>418</v>
          </cell>
          <cell r="F671" t="str">
            <v>4L2J</v>
          </cell>
        </row>
        <row r="672">
          <cell r="A672">
            <v>529630</v>
          </cell>
          <cell r="E672">
            <v>630</v>
          </cell>
          <cell r="F672" t="str">
            <v>HYFW</v>
          </cell>
        </row>
        <row r="673">
          <cell r="A673">
            <v>741852</v>
          </cell>
          <cell r="E673">
            <v>852</v>
          </cell>
          <cell r="F673" t="str">
            <v>UBS9</v>
          </cell>
        </row>
        <row r="674">
          <cell r="A674">
            <v>963074</v>
          </cell>
          <cell r="E674">
            <v>174</v>
          </cell>
          <cell r="F674" t="str">
            <v>7O5M</v>
          </cell>
        </row>
        <row r="675">
          <cell r="A675">
            <v>185296</v>
          </cell>
          <cell r="E675">
            <v>296</v>
          </cell>
          <cell r="F675" t="str">
            <v>K1IZ</v>
          </cell>
        </row>
        <row r="676">
          <cell r="A676">
            <v>307418</v>
          </cell>
          <cell r="E676">
            <v>418</v>
          </cell>
          <cell r="F676" t="str">
            <v>XEVC</v>
          </cell>
        </row>
        <row r="677">
          <cell r="A677">
            <v>529630</v>
          </cell>
          <cell r="E677">
            <v>630</v>
          </cell>
          <cell r="F677" t="str">
            <v>AR8P</v>
          </cell>
        </row>
        <row r="678">
          <cell r="A678">
            <v>741852</v>
          </cell>
          <cell r="E678">
            <v>852</v>
          </cell>
          <cell r="F678" t="str">
            <v>N4L2</v>
          </cell>
        </row>
        <row r="679">
          <cell r="A679">
            <v>963074</v>
          </cell>
          <cell r="E679">
            <v>174</v>
          </cell>
          <cell r="F679" t="str">
            <v>0HYF</v>
          </cell>
        </row>
        <row r="680">
          <cell r="A680">
            <v>185296</v>
          </cell>
          <cell r="E680">
            <v>296</v>
          </cell>
          <cell r="F680" t="str">
            <v>DUBS</v>
          </cell>
        </row>
        <row r="681">
          <cell r="A681">
            <v>307418</v>
          </cell>
          <cell r="E681">
            <v>418</v>
          </cell>
          <cell r="F681" t="str">
            <v>Q7O5</v>
          </cell>
        </row>
        <row r="682">
          <cell r="A682">
            <v>529630</v>
          </cell>
          <cell r="E682">
            <v>630</v>
          </cell>
          <cell r="F682" t="str">
            <v>3K1I</v>
          </cell>
        </row>
        <row r="683">
          <cell r="A683">
            <v>741852</v>
          </cell>
          <cell r="E683">
            <v>852</v>
          </cell>
          <cell r="F683" t="str">
            <v>GXEV</v>
          </cell>
        </row>
        <row r="684">
          <cell r="A684">
            <v>963074</v>
          </cell>
          <cell r="E684">
            <v>174</v>
          </cell>
          <cell r="F684" t="str">
            <v>TAR8</v>
          </cell>
        </row>
        <row r="685">
          <cell r="A685">
            <v>185296</v>
          </cell>
          <cell r="E685">
            <v>296</v>
          </cell>
          <cell r="F685" t="str">
            <v>6N4L</v>
          </cell>
        </row>
        <row r="686">
          <cell r="A686">
            <v>307418</v>
          </cell>
          <cell r="E686">
            <v>418</v>
          </cell>
          <cell r="F686" t="str">
            <v>J0HY</v>
          </cell>
        </row>
        <row r="687">
          <cell r="A687">
            <v>529630</v>
          </cell>
          <cell r="E687">
            <v>630</v>
          </cell>
          <cell r="F687" t="str">
            <v>WDUB</v>
          </cell>
        </row>
        <row r="688">
          <cell r="A688">
            <v>741852</v>
          </cell>
          <cell r="E688">
            <v>852</v>
          </cell>
          <cell r="F688" t="str">
            <v>9Q7O</v>
          </cell>
        </row>
        <row r="689">
          <cell r="A689">
            <v>963074</v>
          </cell>
          <cell r="E689">
            <v>174</v>
          </cell>
          <cell r="F689" t="str">
            <v>M3K1</v>
          </cell>
        </row>
        <row r="690">
          <cell r="A690">
            <v>185296</v>
          </cell>
          <cell r="E690">
            <v>296</v>
          </cell>
          <cell r="F690" t="str">
            <v>ZGXE</v>
          </cell>
        </row>
        <row r="691">
          <cell r="A691">
            <v>307418</v>
          </cell>
          <cell r="E691">
            <v>418</v>
          </cell>
          <cell r="F691" t="str">
            <v>CTAR</v>
          </cell>
        </row>
        <row r="692">
          <cell r="A692">
            <v>5296</v>
          </cell>
          <cell r="E692">
            <v>630</v>
          </cell>
          <cell r="F692" t="str">
            <v>P6N4</v>
          </cell>
        </row>
        <row r="693">
          <cell r="A693">
            <v>7418</v>
          </cell>
          <cell r="E693">
            <v>852</v>
          </cell>
          <cell r="F693" t="str">
            <v>2J0H</v>
          </cell>
        </row>
        <row r="694">
          <cell r="A694">
            <v>9630</v>
          </cell>
          <cell r="E694">
            <v>174</v>
          </cell>
          <cell r="F694" t="str">
            <v>FWDU</v>
          </cell>
        </row>
        <row r="695">
          <cell r="A695">
            <v>1852</v>
          </cell>
          <cell r="E695">
            <v>296</v>
          </cell>
          <cell r="F695" t="str">
            <v>S9Q7</v>
          </cell>
        </row>
        <row r="696">
          <cell r="A696">
            <v>3074</v>
          </cell>
          <cell r="E696">
            <v>418</v>
          </cell>
          <cell r="F696" t="str">
            <v>5M3K</v>
          </cell>
        </row>
        <row r="697">
          <cell r="A697">
            <v>5296</v>
          </cell>
          <cell r="E697">
            <v>630</v>
          </cell>
          <cell r="F697" t="str">
            <v>IZGX</v>
          </cell>
        </row>
        <row r="698">
          <cell r="A698">
            <v>7418</v>
          </cell>
          <cell r="E698">
            <v>852</v>
          </cell>
          <cell r="F698" t="str">
            <v>VCTA</v>
          </cell>
        </row>
        <row r="699">
          <cell r="A699">
            <v>9630</v>
          </cell>
          <cell r="E699">
            <v>174</v>
          </cell>
          <cell r="F699" t="str">
            <v>8P6N</v>
          </cell>
        </row>
        <row r="700">
          <cell r="A700">
            <v>1852</v>
          </cell>
          <cell r="E700">
            <v>296</v>
          </cell>
          <cell r="F700" t="str">
            <v>L2J0</v>
          </cell>
        </row>
        <row r="701">
          <cell r="A701">
            <v>3074</v>
          </cell>
          <cell r="E701">
            <v>418</v>
          </cell>
          <cell r="F701" t="str">
            <v>YFWD</v>
          </cell>
        </row>
        <row r="702">
          <cell r="A702">
            <v>5296</v>
          </cell>
          <cell r="E702">
            <v>630</v>
          </cell>
          <cell r="F702" t="str">
            <v>BS9Q</v>
          </cell>
        </row>
        <row r="703">
          <cell r="A703">
            <v>7418</v>
          </cell>
          <cell r="E703">
            <v>852</v>
          </cell>
          <cell r="F703" t="str">
            <v>O5M3</v>
          </cell>
        </row>
        <row r="704">
          <cell r="A704">
            <v>9630</v>
          </cell>
          <cell r="E704">
            <v>174</v>
          </cell>
          <cell r="F704" t="str">
            <v>1IZG</v>
          </cell>
        </row>
        <row r="705">
          <cell r="A705">
            <v>1852</v>
          </cell>
          <cell r="E705">
            <v>296</v>
          </cell>
          <cell r="F705" t="str">
            <v>EVCT</v>
          </cell>
        </row>
        <row r="706">
          <cell r="A706">
            <v>3074</v>
          </cell>
          <cell r="E706">
            <v>418</v>
          </cell>
          <cell r="F706" t="str">
            <v>R8P6</v>
          </cell>
        </row>
        <row r="707">
          <cell r="A707">
            <v>5296</v>
          </cell>
          <cell r="E707">
            <v>630</v>
          </cell>
          <cell r="F707" t="str">
            <v>4L2J</v>
          </cell>
        </row>
        <row r="708">
          <cell r="A708">
            <v>7418</v>
          </cell>
          <cell r="E708">
            <v>852</v>
          </cell>
          <cell r="F708" t="str">
            <v>HYFW</v>
          </cell>
        </row>
        <row r="709">
          <cell r="A709">
            <v>9630</v>
          </cell>
          <cell r="E709">
            <v>174</v>
          </cell>
          <cell r="F709" t="str">
            <v>UBS9</v>
          </cell>
        </row>
        <row r="710">
          <cell r="A710">
            <v>1852</v>
          </cell>
          <cell r="E710">
            <v>296</v>
          </cell>
          <cell r="F710" t="str">
            <v>7O5M</v>
          </cell>
        </row>
        <row r="711">
          <cell r="A711">
            <v>3074</v>
          </cell>
          <cell r="E711">
            <v>418</v>
          </cell>
          <cell r="F711" t="str">
            <v>K1IZ</v>
          </cell>
        </row>
        <row r="712">
          <cell r="A712">
            <v>5296</v>
          </cell>
          <cell r="E712">
            <v>630</v>
          </cell>
          <cell r="F712" t="str">
            <v>XEVC</v>
          </cell>
        </row>
        <row r="713">
          <cell r="A713">
            <v>7418</v>
          </cell>
          <cell r="E713">
            <v>852</v>
          </cell>
          <cell r="F713" t="str">
            <v>AR8P</v>
          </cell>
        </row>
        <row r="714">
          <cell r="A714">
            <v>9630</v>
          </cell>
          <cell r="E714">
            <v>174</v>
          </cell>
          <cell r="F714" t="str">
            <v>N4L2</v>
          </cell>
        </row>
        <row r="715">
          <cell r="A715">
            <v>1852</v>
          </cell>
          <cell r="E715">
            <v>296</v>
          </cell>
          <cell r="F715" t="str">
            <v>0HYF</v>
          </cell>
        </row>
        <row r="716">
          <cell r="A716">
            <v>3074</v>
          </cell>
          <cell r="E716">
            <v>418</v>
          </cell>
          <cell r="F716" t="str">
            <v>DUBS</v>
          </cell>
        </row>
        <row r="717">
          <cell r="A717">
            <v>5296</v>
          </cell>
          <cell r="E717">
            <v>630</v>
          </cell>
          <cell r="F717" t="str">
            <v>Q7O5</v>
          </cell>
        </row>
        <row r="718">
          <cell r="A718">
            <v>7418</v>
          </cell>
          <cell r="E718">
            <v>852</v>
          </cell>
          <cell r="F718" t="str">
            <v>3K1I</v>
          </cell>
        </row>
        <row r="719">
          <cell r="A719">
            <v>9630</v>
          </cell>
          <cell r="E719">
            <v>174</v>
          </cell>
          <cell r="F719" t="str">
            <v>GXEV</v>
          </cell>
        </row>
        <row r="720">
          <cell r="A720">
            <v>1852</v>
          </cell>
          <cell r="E720">
            <v>296</v>
          </cell>
          <cell r="F720" t="str">
            <v>TAR8</v>
          </cell>
        </row>
        <row r="721">
          <cell r="A721">
            <v>3074</v>
          </cell>
          <cell r="E721">
            <v>418</v>
          </cell>
          <cell r="F721" t="str">
            <v>6N4L</v>
          </cell>
        </row>
        <row r="722">
          <cell r="A722">
            <v>5296</v>
          </cell>
          <cell r="E722">
            <v>630</v>
          </cell>
          <cell r="F722" t="str">
            <v>J0HY</v>
          </cell>
        </row>
        <row r="723">
          <cell r="A723">
            <v>7418</v>
          </cell>
          <cell r="E723">
            <v>852</v>
          </cell>
          <cell r="F723" t="str">
            <v>WDUB</v>
          </cell>
        </row>
        <row r="724">
          <cell r="A724">
            <v>9630</v>
          </cell>
          <cell r="E724">
            <v>174</v>
          </cell>
          <cell r="F724" t="str">
            <v>9Q7O</v>
          </cell>
        </row>
        <row r="725">
          <cell r="A725">
            <v>1852</v>
          </cell>
          <cell r="E725">
            <v>296</v>
          </cell>
          <cell r="F725" t="str">
            <v>M3K1</v>
          </cell>
        </row>
        <row r="726">
          <cell r="A726">
            <v>3074</v>
          </cell>
          <cell r="E726">
            <v>418</v>
          </cell>
          <cell r="F726" t="str">
            <v>ZGXE</v>
          </cell>
        </row>
        <row r="727">
          <cell r="A727">
            <v>5296</v>
          </cell>
          <cell r="E727">
            <v>630</v>
          </cell>
          <cell r="F727" t="str">
            <v>CTAR</v>
          </cell>
        </row>
        <row r="728">
          <cell r="A728">
            <v>7418</v>
          </cell>
          <cell r="E728">
            <v>852</v>
          </cell>
          <cell r="F728" t="str">
            <v>P6N4</v>
          </cell>
        </row>
        <row r="729">
          <cell r="A729">
            <v>9630</v>
          </cell>
          <cell r="E729">
            <v>174</v>
          </cell>
          <cell r="F729" t="str">
            <v>2J0H</v>
          </cell>
        </row>
        <row r="730">
          <cell r="A730">
            <v>1852</v>
          </cell>
          <cell r="E730">
            <v>296</v>
          </cell>
          <cell r="F730" t="str">
            <v>FWDU</v>
          </cell>
        </row>
        <row r="731">
          <cell r="A731">
            <v>3074</v>
          </cell>
          <cell r="E731">
            <v>418</v>
          </cell>
          <cell r="F731" t="str">
            <v>S9Q7</v>
          </cell>
        </row>
        <row r="732">
          <cell r="A732">
            <v>5296</v>
          </cell>
          <cell r="E732">
            <v>630</v>
          </cell>
          <cell r="F732" t="str">
            <v>5M3K</v>
          </cell>
        </row>
        <row r="733">
          <cell r="A733">
            <v>7418</v>
          </cell>
          <cell r="E733">
            <v>852</v>
          </cell>
          <cell r="F733" t="str">
            <v>IZGX</v>
          </cell>
        </row>
        <row r="734">
          <cell r="A734">
            <v>963074</v>
          </cell>
          <cell r="E734">
            <v>174</v>
          </cell>
          <cell r="F734" t="str">
            <v>VCTA</v>
          </cell>
        </row>
        <row r="735">
          <cell r="A735">
            <v>1852</v>
          </cell>
          <cell r="E735">
            <v>296</v>
          </cell>
          <cell r="F735" t="str">
            <v>8P6N</v>
          </cell>
        </row>
        <row r="736">
          <cell r="A736">
            <v>3074</v>
          </cell>
          <cell r="E736">
            <v>418</v>
          </cell>
          <cell r="F736" t="str">
            <v>L2J0</v>
          </cell>
        </row>
        <row r="737">
          <cell r="A737">
            <v>5296</v>
          </cell>
          <cell r="E737">
            <v>630</v>
          </cell>
          <cell r="F737" t="str">
            <v>YFWD</v>
          </cell>
        </row>
        <row r="738">
          <cell r="A738">
            <v>7418</v>
          </cell>
          <cell r="E738">
            <v>852</v>
          </cell>
          <cell r="F738" t="str">
            <v>BS9Q</v>
          </cell>
        </row>
        <row r="739">
          <cell r="A739">
            <v>9630</v>
          </cell>
          <cell r="E739">
            <v>174</v>
          </cell>
          <cell r="F739" t="str">
            <v>O5M3</v>
          </cell>
        </row>
        <row r="740">
          <cell r="A740">
            <v>1852</v>
          </cell>
          <cell r="E740">
            <v>296</v>
          </cell>
          <cell r="F740" t="str">
            <v>1IZG</v>
          </cell>
        </row>
        <row r="741">
          <cell r="A741">
            <v>3074</v>
          </cell>
          <cell r="E741">
            <v>418</v>
          </cell>
          <cell r="F741" t="str">
            <v>EVCT</v>
          </cell>
        </row>
        <row r="742">
          <cell r="A742">
            <v>5296</v>
          </cell>
          <cell r="E742">
            <v>630</v>
          </cell>
          <cell r="F742" t="str">
            <v>R8P6</v>
          </cell>
        </row>
        <row r="743">
          <cell r="A743">
            <v>7418</v>
          </cell>
          <cell r="E743">
            <v>852</v>
          </cell>
          <cell r="F743" t="str">
            <v>4L2J</v>
          </cell>
        </row>
        <row r="744">
          <cell r="A744">
            <v>9630</v>
          </cell>
          <cell r="E744">
            <v>174</v>
          </cell>
          <cell r="F744" t="str">
            <v>HYFW</v>
          </cell>
        </row>
        <row r="745">
          <cell r="A745">
            <v>1852</v>
          </cell>
          <cell r="E745">
            <v>296</v>
          </cell>
          <cell r="F745" t="str">
            <v>UBS9</v>
          </cell>
        </row>
        <row r="746">
          <cell r="A746">
            <v>3074</v>
          </cell>
          <cell r="E746">
            <v>418</v>
          </cell>
          <cell r="F746" t="str">
            <v>7O5M</v>
          </cell>
        </row>
        <row r="747">
          <cell r="A747">
            <v>529630</v>
          </cell>
          <cell r="E747">
            <v>630</v>
          </cell>
          <cell r="F747" t="str">
            <v>K1IZ</v>
          </cell>
        </row>
        <row r="748">
          <cell r="A748">
            <v>741852</v>
          </cell>
          <cell r="E748">
            <v>852</v>
          </cell>
          <cell r="F748" t="str">
            <v>XEVC</v>
          </cell>
        </row>
        <row r="749">
          <cell r="A749">
            <v>9630</v>
          </cell>
          <cell r="E749">
            <v>174</v>
          </cell>
          <cell r="F749" t="str">
            <v>AR8P</v>
          </cell>
        </row>
        <row r="750">
          <cell r="A750">
            <v>1852</v>
          </cell>
          <cell r="E750">
            <v>296</v>
          </cell>
          <cell r="F750" t="str">
            <v>N4L2</v>
          </cell>
        </row>
        <row r="751">
          <cell r="A751">
            <v>3074</v>
          </cell>
          <cell r="E751">
            <v>418</v>
          </cell>
          <cell r="F751" t="str">
            <v>0HYF</v>
          </cell>
        </row>
        <row r="752">
          <cell r="A752">
            <v>5296</v>
          </cell>
          <cell r="E752">
            <v>630</v>
          </cell>
          <cell r="F752" t="str">
            <v>DUBS</v>
          </cell>
        </row>
        <row r="753">
          <cell r="A753">
            <v>7418</v>
          </cell>
          <cell r="E753">
            <v>852</v>
          </cell>
          <cell r="F753" t="str">
            <v>Q7O5</v>
          </cell>
        </row>
        <row r="754">
          <cell r="A754">
            <v>9630</v>
          </cell>
          <cell r="E754">
            <v>174</v>
          </cell>
          <cell r="F754" t="str">
            <v>3K1I</v>
          </cell>
        </row>
        <row r="755">
          <cell r="A755">
            <v>1852</v>
          </cell>
          <cell r="E755">
            <v>296</v>
          </cell>
          <cell r="F755" t="str">
            <v>GXEV</v>
          </cell>
        </row>
        <row r="756">
          <cell r="A756">
            <v>3074</v>
          </cell>
          <cell r="E756">
            <v>418</v>
          </cell>
          <cell r="F756" t="str">
            <v>TAR8</v>
          </cell>
        </row>
        <row r="757">
          <cell r="A757">
            <v>5296</v>
          </cell>
          <cell r="E757">
            <v>630</v>
          </cell>
          <cell r="F757" t="str">
            <v>6N4L</v>
          </cell>
        </row>
        <row r="758">
          <cell r="A758">
            <v>7418</v>
          </cell>
          <cell r="E758">
            <v>852</v>
          </cell>
          <cell r="F758" t="str">
            <v>J0HY</v>
          </cell>
        </row>
        <row r="759">
          <cell r="A759">
            <v>9630</v>
          </cell>
          <cell r="E759">
            <v>174</v>
          </cell>
          <cell r="F759" t="str">
            <v>WDUB</v>
          </cell>
        </row>
        <row r="760">
          <cell r="A760">
            <v>1852</v>
          </cell>
          <cell r="E760">
            <v>296</v>
          </cell>
          <cell r="F760" t="str">
            <v>9Q7O</v>
          </cell>
        </row>
        <row r="761">
          <cell r="A761">
            <v>3074</v>
          </cell>
          <cell r="E761">
            <v>418</v>
          </cell>
          <cell r="F761" t="str">
            <v>M3K1</v>
          </cell>
        </row>
        <row r="762">
          <cell r="A762">
            <v>5296</v>
          </cell>
          <cell r="E762">
            <v>630</v>
          </cell>
          <cell r="F762" t="str">
            <v>ZGXE</v>
          </cell>
        </row>
        <row r="763">
          <cell r="A763">
            <v>7418</v>
          </cell>
          <cell r="E763">
            <v>852</v>
          </cell>
          <cell r="F763" t="str">
            <v>CTAR</v>
          </cell>
        </row>
        <row r="764">
          <cell r="A764">
            <v>9630</v>
          </cell>
          <cell r="E764">
            <v>174</v>
          </cell>
          <cell r="F764" t="str">
            <v>P6N4</v>
          </cell>
        </row>
        <row r="765">
          <cell r="A765">
            <v>1852</v>
          </cell>
          <cell r="E765">
            <v>296</v>
          </cell>
          <cell r="F765" t="str">
            <v>2J0H</v>
          </cell>
        </row>
        <row r="766">
          <cell r="A766">
            <v>3074</v>
          </cell>
          <cell r="E766">
            <v>418</v>
          </cell>
          <cell r="F766" t="str">
            <v>FWDU</v>
          </cell>
        </row>
        <row r="767">
          <cell r="A767">
            <v>5296</v>
          </cell>
          <cell r="E767">
            <v>630</v>
          </cell>
          <cell r="F767" t="str">
            <v>S9Q7</v>
          </cell>
        </row>
        <row r="768">
          <cell r="A768">
            <v>7418</v>
          </cell>
          <cell r="E768">
            <v>852</v>
          </cell>
          <cell r="F768" t="str">
            <v>5M3K</v>
          </cell>
        </row>
        <row r="769">
          <cell r="A769">
            <v>9630</v>
          </cell>
          <cell r="E769">
            <v>174</v>
          </cell>
          <cell r="F769" t="str">
            <v>IZGX</v>
          </cell>
        </row>
        <row r="770">
          <cell r="A770">
            <v>1852</v>
          </cell>
          <cell r="E770">
            <v>296</v>
          </cell>
          <cell r="F770" t="str">
            <v>VCTA</v>
          </cell>
        </row>
        <row r="771">
          <cell r="A771">
            <v>3074</v>
          </cell>
          <cell r="E771">
            <v>418</v>
          </cell>
          <cell r="F771" t="str">
            <v>8P6N</v>
          </cell>
        </row>
        <row r="772">
          <cell r="A772">
            <v>5296</v>
          </cell>
          <cell r="E772">
            <v>630</v>
          </cell>
          <cell r="F772" t="str">
            <v>L2J0</v>
          </cell>
        </row>
        <row r="773">
          <cell r="A773">
            <v>7418</v>
          </cell>
          <cell r="E773">
            <v>852</v>
          </cell>
          <cell r="F773" t="str">
            <v>YFWD</v>
          </cell>
        </row>
        <row r="774">
          <cell r="A774">
            <v>9630</v>
          </cell>
          <cell r="E774">
            <v>174</v>
          </cell>
          <cell r="F774" t="str">
            <v>BS9Q</v>
          </cell>
        </row>
        <row r="775">
          <cell r="A775">
            <v>1852</v>
          </cell>
          <cell r="E775">
            <v>296</v>
          </cell>
          <cell r="F775" t="str">
            <v>O5M3</v>
          </cell>
        </row>
        <row r="776">
          <cell r="A776">
            <v>3074</v>
          </cell>
          <cell r="E776">
            <v>418</v>
          </cell>
          <cell r="F776" t="str">
            <v>1IZG</v>
          </cell>
        </row>
        <row r="777">
          <cell r="A777">
            <v>5296</v>
          </cell>
          <cell r="E777">
            <v>630</v>
          </cell>
          <cell r="F777" t="str">
            <v>EVCT</v>
          </cell>
        </row>
        <row r="778">
          <cell r="A778">
            <v>7418</v>
          </cell>
          <cell r="E778">
            <v>852</v>
          </cell>
          <cell r="F778" t="str">
            <v>R8P6</v>
          </cell>
        </row>
        <row r="779">
          <cell r="A779">
            <v>9630</v>
          </cell>
          <cell r="E779">
            <v>174</v>
          </cell>
          <cell r="F779" t="str">
            <v>4L2J</v>
          </cell>
        </row>
        <row r="780">
          <cell r="A780">
            <v>1852</v>
          </cell>
          <cell r="E780">
            <v>296</v>
          </cell>
          <cell r="F780" t="str">
            <v>HYFW</v>
          </cell>
        </row>
        <row r="781">
          <cell r="A781">
            <v>3074</v>
          </cell>
          <cell r="E781">
            <v>418</v>
          </cell>
          <cell r="F781" t="str">
            <v>UBS9</v>
          </cell>
        </row>
        <row r="782">
          <cell r="A782">
            <v>5296</v>
          </cell>
          <cell r="E782">
            <v>630</v>
          </cell>
          <cell r="F782" t="str">
            <v>7O5M</v>
          </cell>
        </row>
        <row r="783">
          <cell r="A783">
            <v>7418</v>
          </cell>
          <cell r="E783">
            <v>852</v>
          </cell>
          <cell r="F783" t="str">
            <v>K1IZ</v>
          </cell>
        </row>
        <row r="784">
          <cell r="A784">
            <v>9630</v>
          </cell>
          <cell r="E784">
            <v>174</v>
          </cell>
          <cell r="F784" t="str">
            <v>XEVC</v>
          </cell>
        </row>
        <row r="785">
          <cell r="A785">
            <v>1852</v>
          </cell>
          <cell r="E785">
            <v>296</v>
          </cell>
          <cell r="F785" t="str">
            <v>AR8P</v>
          </cell>
        </row>
        <row r="786">
          <cell r="A786">
            <v>3074</v>
          </cell>
          <cell r="E786">
            <v>418</v>
          </cell>
          <cell r="F786" t="str">
            <v>N4L2</v>
          </cell>
        </row>
        <row r="787">
          <cell r="A787">
            <v>5296</v>
          </cell>
          <cell r="E787">
            <v>630</v>
          </cell>
          <cell r="F787" t="str">
            <v>0HYF</v>
          </cell>
        </row>
        <row r="788">
          <cell r="A788">
            <v>7418</v>
          </cell>
          <cell r="E788">
            <v>852</v>
          </cell>
          <cell r="F788" t="str">
            <v>DUBS</v>
          </cell>
        </row>
        <row r="789">
          <cell r="A789">
            <v>9630</v>
          </cell>
          <cell r="E789">
            <v>174</v>
          </cell>
          <cell r="F789" t="str">
            <v>Q7O5</v>
          </cell>
        </row>
        <row r="790">
          <cell r="A790">
            <v>1852</v>
          </cell>
          <cell r="E790">
            <v>296</v>
          </cell>
          <cell r="F790" t="str">
            <v>3K1I</v>
          </cell>
        </row>
        <row r="791">
          <cell r="A791">
            <v>307418</v>
          </cell>
          <cell r="E791">
            <v>418</v>
          </cell>
          <cell r="F791" t="str">
            <v>GXEV</v>
          </cell>
        </row>
        <row r="792">
          <cell r="A792">
            <v>5296</v>
          </cell>
          <cell r="E792">
            <v>630</v>
          </cell>
          <cell r="F792" t="str">
            <v>TAR8</v>
          </cell>
        </row>
        <row r="793">
          <cell r="A793">
            <v>7418</v>
          </cell>
          <cell r="E793">
            <v>852</v>
          </cell>
          <cell r="F793" t="str">
            <v>6N4L</v>
          </cell>
        </row>
        <row r="794">
          <cell r="A794">
            <v>9630</v>
          </cell>
          <cell r="E794">
            <v>174</v>
          </cell>
          <cell r="F794" t="str">
            <v>J0HY</v>
          </cell>
        </row>
        <row r="795">
          <cell r="A795">
            <v>1852</v>
          </cell>
          <cell r="E795">
            <v>296</v>
          </cell>
          <cell r="F795" t="str">
            <v>WDUB</v>
          </cell>
        </row>
        <row r="796">
          <cell r="A796">
            <v>3074</v>
          </cell>
          <cell r="E796">
            <v>418</v>
          </cell>
          <cell r="F796" t="str">
            <v>9Q7O</v>
          </cell>
        </row>
        <row r="797">
          <cell r="A797">
            <v>5296</v>
          </cell>
          <cell r="E797">
            <v>630</v>
          </cell>
          <cell r="F797" t="str">
            <v>M3K1</v>
          </cell>
        </row>
        <row r="798">
          <cell r="A798">
            <v>7418</v>
          </cell>
          <cell r="E798">
            <v>852</v>
          </cell>
          <cell r="F798" t="str">
            <v>ZGXE</v>
          </cell>
        </row>
        <row r="799">
          <cell r="A799">
            <v>9630</v>
          </cell>
          <cell r="E799">
            <v>174</v>
          </cell>
          <cell r="F799" t="str">
            <v>CTAR</v>
          </cell>
        </row>
        <row r="800">
          <cell r="A800">
            <v>1852</v>
          </cell>
          <cell r="E800">
            <v>296</v>
          </cell>
          <cell r="F800" t="str">
            <v>P6N4</v>
          </cell>
        </row>
        <row r="801">
          <cell r="A801">
            <v>3074</v>
          </cell>
          <cell r="E801">
            <v>418</v>
          </cell>
          <cell r="F801" t="str">
            <v>2J0H</v>
          </cell>
        </row>
        <row r="802">
          <cell r="A802">
            <v>5296</v>
          </cell>
          <cell r="E802">
            <v>630</v>
          </cell>
          <cell r="F802" t="str">
            <v>FWDU</v>
          </cell>
        </row>
        <row r="803">
          <cell r="A803">
            <v>7418</v>
          </cell>
          <cell r="E803">
            <v>852</v>
          </cell>
          <cell r="F803" t="str">
            <v>S9Q7</v>
          </cell>
        </row>
        <row r="804">
          <cell r="A804">
            <v>9630</v>
          </cell>
          <cell r="E804">
            <v>174</v>
          </cell>
          <cell r="F804" t="str">
            <v>5M3K</v>
          </cell>
        </row>
        <row r="805">
          <cell r="A805">
            <v>1852</v>
          </cell>
          <cell r="E805">
            <v>296</v>
          </cell>
          <cell r="F805" t="str">
            <v>IZGX</v>
          </cell>
        </row>
        <row r="806">
          <cell r="A806">
            <v>3074</v>
          </cell>
          <cell r="E806">
            <v>418</v>
          </cell>
          <cell r="F806" t="str">
            <v>VCTA</v>
          </cell>
        </row>
        <row r="807">
          <cell r="A807">
            <v>5296</v>
          </cell>
          <cell r="E807">
            <v>630</v>
          </cell>
          <cell r="F807" t="str">
            <v>8P6N</v>
          </cell>
        </row>
        <row r="808">
          <cell r="A808">
            <v>7418</v>
          </cell>
          <cell r="E808">
            <v>852</v>
          </cell>
          <cell r="F808" t="str">
            <v>L2J0</v>
          </cell>
        </row>
        <row r="809">
          <cell r="A809">
            <v>9630</v>
          </cell>
          <cell r="E809">
            <v>174</v>
          </cell>
          <cell r="F809" t="str">
            <v>YFWD</v>
          </cell>
        </row>
        <row r="810">
          <cell r="A810">
            <v>1852</v>
          </cell>
          <cell r="E810">
            <v>296</v>
          </cell>
          <cell r="F810" t="str">
            <v>BS9Q</v>
          </cell>
        </row>
        <row r="811">
          <cell r="A811">
            <v>3074</v>
          </cell>
          <cell r="E811">
            <v>418</v>
          </cell>
          <cell r="F811" t="str">
            <v>O5M3</v>
          </cell>
        </row>
        <row r="812">
          <cell r="A812">
            <v>5296</v>
          </cell>
          <cell r="E812">
            <v>630</v>
          </cell>
          <cell r="F812" t="str">
            <v>1IZG</v>
          </cell>
        </row>
        <row r="813">
          <cell r="A813">
            <v>7418</v>
          </cell>
          <cell r="E813">
            <v>852</v>
          </cell>
          <cell r="F813" t="str">
            <v>EVCT</v>
          </cell>
        </row>
        <row r="814">
          <cell r="A814">
            <v>9630</v>
          </cell>
          <cell r="E814">
            <v>174</v>
          </cell>
          <cell r="F814" t="str">
            <v>R8P6</v>
          </cell>
        </row>
        <row r="815">
          <cell r="A815">
            <v>1852</v>
          </cell>
          <cell r="E815">
            <v>296</v>
          </cell>
          <cell r="F815" t="str">
            <v>4L2J</v>
          </cell>
        </row>
        <row r="816">
          <cell r="A816">
            <v>3074</v>
          </cell>
          <cell r="E816">
            <v>418</v>
          </cell>
          <cell r="F816" t="str">
            <v>HYFW</v>
          </cell>
        </row>
        <row r="817">
          <cell r="A817">
            <v>5296</v>
          </cell>
          <cell r="E817">
            <v>630</v>
          </cell>
          <cell r="F817" t="str">
            <v>UBS9</v>
          </cell>
        </row>
        <row r="818">
          <cell r="A818">
            <v>7418</v>
          </cell>
          <cell r="E818">
            <v>852</v>
          </cell>
          <cell r="F818" t="str">
            <v>7O5M</v>
          </cell>
        </row>
        <row r="819">
          <cell r="A819">
            <v>9630</v>
          </cell>
          <cell r="E819">
            <v>174</v>
          </cell>
          <cell r="F819" t="str">
            <v>K1IZ</v>
          </cell>
        </row>
        <row r="820">
          <cell r="A820">
            <v>1852</v>
          </cell>
          <cell r="E820">
            <v>296</v>
          </cell>
          <cell r="F820" t="str">
            <v>XEVC</v>
          </cell>
        </row>
        <row r="821">
          <cell r="A821">
            <v>3074</v>
          </cell>
          <cell r="E821">
            <v>418</v>
          </cell>
          <cell r="F821" t="str">
            <v>AR8P</v>
          </cell>
        </row>
        <row r="822">
          <cell r="A822">
            <v>5296</v>
          </cell>
          <cell r="E822">
            <v>630</v>
          </cell>
          <cell r="F822" t="str">
            <v>N4L2</v>
          </cell>
        </row>
        <row r="823">
          <cell r="A823">
            <v>7418</v>
          </cell>
          <cell r="E823">
            <v>852</v>
          </cell>
          <cell r="F823" t="str">
            <v>0HYF</v>
          </cell>
        </row>
        <row r="824">
          <cell r="A824">
            <v>9630</v>
          </cell>
          <cell r="E824">
            <v>174</v>
          </cell>
          <cell r="F824" t="str">
            <v>DUBS</v>
          </cell>
        </row>
        <row r="825">
          <cell r="A825">
            <v>1852</v>
          </cell>
          <cell r="E825">
            <v>296</v>
          </cell>
          <cell r="F825" t="str">
            <v>Q7O5</v>
          </cell>
        </row>
        <row r="826">
          <cell r="A826">
            <v>3074</v>
          </cell>
          <cell r="E826">
            <v>418</v>
          </cell>
          <cell r="F826" t="str">
            <v>3K1I</v>
          </cell>
        </row>
        <row r="827">
          <cell r="A827">
            <v>529630</v>
          </cell>
          <cell r="E827">
            <v>630</v>
          </cell>
          <cell r="F827" t="str">
            <v>GXEV</v>
          </cell>
        </row>
        <row r="828">
          <cell r="A828">
            <v>7418</v>
          </cell>
          <cell r="E828">
            <v>852</v>
          </cell>
          <cell r="F828" t="str">
            <v>TAR8</v>
          </cell>
        </row>
        <row r="829">
          <cell r="A829">
            <v>9630</v>
          </cell>
          <cell r="E829">
            <v>174</v>
          </cell>
          <cell r="F829" t="str">
            <v>6N4L</v>
          </cell>
        </row>
        <row r="830">
          <cell r="A830">
            <v>1852</v>
          </cell>
          <cell r="E830">
            <v>296</v>
          </cell>
          <cell r="F830" t="str">
            <v>J0HY</v>
          </cell>
        </row>
        <row r="831">
          <cell r="A831">
            <v>3074</v>
          </cell>
          <cell r="E831">
            <v>418</v>
          </cell>
          <cell r="F831" t="str">
            <v>WDUB</v>
          </cell>
        </row>
        <row r="832">
          <cell r="A832">
            <v>5296</v>
          </cell>
          <cell r="E832">
            <v>630</v>
          </cell>
          <cell r="F832" t="str">
            <v>9Q7O</v>
          </cell>
        </row>
        <row r="833">
          <cell r="A833">
            <v>7418</v>
          </cell>
          <cell r="E833">
            <v>852</v>
          </cell>
          <cell r="F833" t="str">
            <v>M3K1</v>
          </cell>
        </row>
        <row r="834">
          <cell r="A834">
            <v>9630</v>
          </cell>
          <cell r="E834">
            <v>174</v>
          </cell>
          <cell r="F834" t="str">
            <v>ZGXE</v>
          </cell>
        </row>
        <row r="835">
          <cell r="A835">
            <v>1852</v>
          </cell>
          <cell r="E835">
            <v>296</v>
          </cell>
          <cell r="F835" t="str">
            <v>CTAR</v>
          </cell>
        </row>
        <row r="836">
          <cell r="A836">
            <v>3074</v>
          </cell>
          <cell r="E836">
            <v>418</v>
          </cell>
          <cell r="F836" t="str">
            <v>P6N4</v>
          </cell>
        </row>
        <row r="837">
          <cell r="A837">
            <v>5296</v>
          </cell>
          <cell r="E837">
            <v>630</v>
          </cell>
          <cell r="F837" t="str">
            <v>2J0H</v>
          </cell>
        </row>
        <row r="838">
          <cell r="A838">
            <v>7418</v>
          </cell>
          <cell r="E838">
            <v>852</v>
          </cell>
          <cell r="F838" t="str">
            <v>FWDU</v>
          </cell>
        </row>
        <row r="839">
          <cell r="A839">
            <v>9630</v>
          </cell>
          <cell r="E839">
            <v>174</v>
          </cell>
          <cell r="F839" t="str">
            <v>S9Q7</v>
          </cell>
        </row>
        <row r="840">
          <cell r="A840">
            <v>185296</v>
          </cell>
          <cell r="E840">
            <v>296</v>
          </cell>
          <cell r="F840" t="str">
            <v>5M3K</v>
          </cell>
        </row>
        <row r="841">
          <cell r="A841">
            <v>307418</v>
          </cell>
          <cell r="E841">
            <v>418</v>
          </cell>
          <cell r="F841" t="str">
            <v>IZGX</v>
          </cell>
        </row>
        <row r="842">
          <cell r="A842">
            <v>5296</v>
          </cell>
          <cell r="E842">
            <v>630</v>
          </cell>
          <cell r="F842" t="str">
            <v>VCTA</v>
          </cell>
        </row>
        <row r="843">
          <cell r="A843">
            <v>7418</v>
          </cell>
          <cell r="E843">
            <v>852</v>
          </cell>
          <cell r="F843" t="str">
            <v>8P6N</v>
          </cell>
        </row>
        <row r="844">
          <cell r="A844">
            <v>9630</v>
          </cell>
          <cell r="E844">
            <v>174</v>
          </cell>
          <cell r="F844" t="str">
            <v>L2J0</v>
          </cell>
        </row>
        <row r="845">
          <cell r="A845">
            <v>1852</v>
          </cell>
          <cell r="E845">
            <v>296</v>
          </cell>
          <cell r="F845" t="str">
            <v>YFWD</v>
          </cell>
        </row>
        <row r="846">
          <cell r="A846">
            <v>3074</v>
          </cell>
          <cell r="E846">
            <v>418</v>
          </cell>
          <cell r="F846" t="str">
            <v>BS9Q</v>
          </cell>
        </row>
        <row r="847">
          <cell r="A847">
            <v>5296</v>
          </cell>
          <cell r="E847">
            <v>630</v>
          </cell>
          <cell r="F847" t="str">
            <v>O5M3</v>
          </cell>
        </row>
        <row r="848">
          <cell r="A848">
            <v>7418</v>
          </cell>
          <cell r="E848">
            <v>852</v>
          </cell>
          <cell r="F848" t="str">
            <v>1IZG</v>
          </cell>
        </row>
        <row r="849">
          <cell r="A849">
            <v>9630</v>
          </cell>
          <cell r="E849">
            <v>174</v>
          </cell>
          <cell r="F849" t="str">
            <v>EVCT</v>
          </cell>
        </row>
        <row r="850">
          <cell r="A850">
            <v>1852</v>
          </cell>
          <cell r="E850">
            <v>296</v>
          </cell>
          <cell r="F850" t="str">
            <v>R8P6</v>
          </cell>
        </row>
        <row r="851">
          <cell r="A851">
            <v>3074</v>
          </cell>
          <cell r="E851">
            <v>418</v>
          </cell>
          <cell r="F851" t="str">
            <v>4L2J</v>
          </cell>
        </row>
        <row r="852">
          <cell r="A852">
            <v>5296</v>
          </cell>
          <cell r="E852">
            <v>630</v>
          </cell>
          <cell r="F852" t="str">
            <v>HYFW</v>
          </cell>
        </row>
        <row r="853">
          <cell r="A853">
            <v>7418</v>
          </cell>
          <cell r="E853">
            <v>852</v>
          </cell>
          <cell r="F853" t="str">
            <v>UBS9</v>
          </cell>
        </row>
        <row r="854">
          <cell r="A854">
            <v>9630</v>
          </cell>
          <cell r="E854">
            <v>174</v>
          </cell>
          <cell r="F854" t="str">
            <v>7O5M</v>
          </cell>
        </row>
        <row r="855">
          <cell r="A855">
            <v>1852</v>
          </cell>
          <cell r="E855">
            <v>296</v>
          </cell>
          <cell r="F855" t="str">
            <v>K1IZ</v>
          </cell>
        </row>
        <row r="856">
          <cell r="A856">
            <v>3074</v>
          </cell>
          <cell r="E856">
            <v>418</v>
          </cell>
          <cell r="F856" t="str">
            <v>XEVC</v>
          </cell>
        </row>
        <row r="857">
          <cell r="A857">
            <v>5296</v>
          </cell>
          <cell r="E857">
            <v>630</v>
          </cell>
          <cell r="F857" t="str">
            <v>AR8P</v>
          </cell>
        </row>
        <row r="858">
          <cell r="A858">
            <v>7418</v>
          </cell>
          <cell r="E858">
            <v>852</v>
          </cell>
          <cell r="F858" t="str">
            <v>N4L2</v>
          </cell>
        </row>
        <row r="859">
          <cell r="A859">
            <v>9630</v>
          </cell>
          <cell r="E859">
            <v>174</v>
          </cell>
          <cell r="F859" t="str">
            <v>0HYF</v>
          </cell>
        </row>
        <row r="860">
          <cell r="A860">
            <v>1852</v>
          </cell>
          <cell r="E860">
            <v>296</v>
          </cell>
          <cell r="F860" t="str">
            <v>DUBS</v>
          </cell>
        </row>
        <row r="861">
          <cell r="A861">
            <v>3074</v>
          </cell>
          <cell r="E861">
            <v>418</v>
          </cell>
          <cell r="F861" t="str">
            <v>Q7O5</v>
          </cell>
        </row>
        <row r="862">
          <cell r="A862">
            <v>5296</v>
          </cell>
          <cell r="E862">
            <v>630</v>
          </cell>
          <cell r="F862" t="str">
            <v>3K1I</v>
          </cell>
        </row>
        <row r="863">
          <cell r="A863">
            <v>7418</v>
          </cell>
          <cell r="E863">
            <v>852</v>
          </cell>
          <cell r="F863" t="str">
            <v>GXEV</v>
          </cell>
        </row>
        <row r="864">
          <cell r="A864">
            <v>9630</v>
          </cell>
          <cell r="E864">
            <v>174</v>
          </cell>
          <cell r="F864" t="str">
            <v>TAR8</v>
          </cell>
        </row>
        <row r="865">
          <cell r="A865">
            <v>1852</v>
          </cell>
          <cell r="E865">
            <v>296</v>
          </cell>
          <cell r="F865" t="str">
            <v>6N4L</v>
          </cell>
        </row>
        <row r="866">
          <cell r="A866">
            <v>3074</v>
          </cell>
          <cell r="E866">
            <v>418</v>
          </cell>
          <cell r="F866" t="str">
            <v>J0HY</v>
          </cell>
        </row>
        <row r="867">
          <cell r="A867">
            <v>5296</v>
          </cell>
          <cell r="E867">
            <v>630</v>
          </cell>
          <cell r="F867" t="str">
            <v>WDUB</v>
          </cell>
        </row>
        <row r="868">
          <cell r="A868">
            <v>7418</v>
          </cell>
          <cell r="E868">
            <v>852</v>
          </cell>
          <cell r="F868" t="str">
            <v>9Q7O</v>
          </cell>
        </row>
        <row r="869">
          <cell r="A869">
            <v>9630</v>
          </cell>
          <cell r="E869">
            <v>174</v>
          </cell>
          <cell r="F869" t="str">
            <v>M3K1</v>
          </cell>
        </row>
        <row r="870">
          <cell r="A870">
            <v>1852</v>
          </cell>
          <cell r="E870">
            <v>296</v>
          </cell>
          <cell r="F870" t="str">
            <v>ZGXE</v>
          </cell>
        </row>
        <row r="871">
          <cell r="A871">
            <v>3074</v>
          </cell>
          <cell r="E871">
            <v>418</v>
          </cell>
          <cell r="F871" t="str">
            <v>CTAR</v>
          </cell>
        </row>
        <row r="872">
          <cell r="A872">
            <v>5296</v>
          </cell>
          <cell r="E872">
            <v>630</v>
          </cell>
          <cell r="F872" t="str">
            <v>P6N4</v>
          </cell>
        </row>
        <row r="873">
          <cell r="A873">
            <v>7418</v>
          </cell>
          <cell r="E873">
            <v>852</v>
          </cell>
          <cell r="F873" t="str">
            <v>2J0H</v>
          </cell>
        </row>
        <row r="874">
          <cell r="A874">
            <v>9630</v>
          </cell>
          <cell r="E874">
            <v>174</v>
          </cell>
          <cell r="F874" t="str">
            <v>FWDU</v>
          </cell>
        </row>
        <row r="875">
          <cell r="A875">
            <v>1852</v>
          </cell>
          <cell r="E875">
            <v>296</v>
          </cell>
          <cell r="F875" t="str">
            <v>S9Q7</v>
          </cell>
        </row>
        <row r="876">
          <cell r="A876">
            <v>3074</v>
          </cell>
          <cell r="E876">
            <v>418</v>
          </cell>
          <cell r="F876" t="str">
            <v>5M3K</v>
          </cell>
        </row>
        <row r="877">
          <cell r="A877">
            <v>5296</v>
          </cell>
          <cell r="E877">
            <v>630</v>
          </cell>
          <cell r="F877" t="str">
            <v>IZGX</v>
          </cell>
        </row>
        <row r="878">
          <cell r="A878">
            <v>7418</v>
          </cell>
          <cell r="E878">
            <v>852</v>
          </cell>
          <cell r="F878" t="str">
            <v>VCTA</v>
          </cell>
        </row>
        <row r="879">
          <cell r="A879">
            <v>9630</v>
          </cell>
          <cell r="E879">
            <v>174</v>
          </cell>
          <cell r="F879" t="str">
            <v>8P6N</v>
          </cell>
        </row>
        <row r="880">
          <cell r="A880">
            <v>1852</v>
          </cell>
          <cell r="E880">
            <v>296</v>
          </cell>
          <cell r="F880" t="str">
            <v>L2J0</v>
          </cell>
        </row>
        <row r="881">
          <cell r="A881">
            <v>3074</v>
          </cell>
          <cell r="E881">
            <v>418</v>
          </cell>
          <cell r="F881" t="str">
            <v>YFWD</v>
          </cell>
        </row>
        <row r="882">
          <cell r="A882">
            <v>5296</v>
          </cell>
          <cell r="E882">
            <v>630</v>
          </cell>
          <cell r="F882" t="str">
            <v>BS9Q</v>
          </cell>
        </row>
        <row r="883">
          <cell r="A883">
            <v>7418</v>
          </cell>
          <cell r="E883">
            <v>852</v>
          </cell>
          <cell r="F883" t="str">
            <v>O5M3</v>
          </cell>
        </row>
        <row r="884">
          <cell r="A884">
            <v>963074</v>
          </cell>
          <cell r="E884">
            <v>174</v>
          </cell>
          <cell r="F884" t="str">
            <v>1IZG</v>
          </cell>
        </row>
        <row r="885">
          <cell r="A885">
            <v>1852</v>
          </cell>
          <cell r="E885">
            <v>296</v>
          </cell>
          <cell r="F885" t="str">
            <v>EVCT</v>
          </cell>
        </row>
        <row r="886">
          <cell r="A886">
            <v>3074</v>
          </cell>
          <cell r="E886">
            <v>418</v>
          </cell>
          <cell r="F886" t="str">
            <v>R8P6</v>
          </cell>
        </row>
        <row r="887">
          <cell r="A887">
            <v>5296</v>
          </cell>
          <cell r="E887">
            <v>630</v>
          </cell>
          <cell r="F887" t="str">
            <v>4L2J</v>
          </cell>
        </row>
        <row r="888">
          <cell r="A888">
            <v>7418</v>
          </cell>
          <cell r="E888">
            <v>852</v>
          </cell>
          <cell r="F888" t="str">
            <v>HYFW</v>
          </cell>
        </row>
        <row r="889">
          <cell r="A889">
            <v>9630</v>
          </cell>
          <cell r="E889">
            <v>174</v>
          </cell>
          <cell r="F889" t="str">
            <v>UBS9</v>
          </cell>
        </row>
        <row r="890">
          <cell r="A890">
            <v>1852</v>
          </cell>
          <cell r="E890">
            <v>296</v>
          </cell>
          <cell r="F890" t="str">
            <v>7O5M</v>
          </cell>
        </row>
        <row r="891">
          <cell r="A891">
            <v>3074</v>
          </cell>
          <cell r="E891">
            <v>418</v>
          </cell>
          <cell r="F891" t="str">
            <v>K1IZ</v>
          </cell>
        </row>
        <row r="892">
          <cell r="A892">
            <v>5296</v>
          </cell>
          <cell r="E892">
            <v>630</v>
          </cell>
          <cell r="F892" t="str">
            <v>XEVC</v>
          </cell>
        </row>
        <row r="893">
          <cell r="A893">
            <v>7418</v>
          </cell>
          <cell r="E893">
            <v>852</v>
          </cell>
          <cell r="F893" t="str">
            <v>AR8P</v>
          </cell>
        </row>
        <row r="894">
          <cell r="A894">
            <v>9630</v>
          </cell>
          <cell r="E894">
            <v>174</v>
          </cell>
          <cell r="F894" t="str">
            <v>N4L2</v>
          </cell>
        </row>
        <row r="895">
          <cell r="A895">
            <v>1852</v>
          </cell>
          <cell r="E895">
            <v>296</v>
          </cell>
          <cell r="F895" t="str">
            <v>0HYF</v>
          </cell>
        </row>
        <row r="896">
          <cell r="A896">
            <v>3074</v>
          </cell>
          <cell r="E896">
            <v>418</v>
          </cell>
          <cell r="F896" t="str">
            <v>DUBS</v>
          </cell>
        </row>
        <row r="897">
          <cell r="A897">
            <v>5296</v>
          </cell>
          <cell r="E897">
            <v>630</v>
          </cell>
          <cell r="F897" t="str">
            <v>Q7O5</v>
          </cell>
        </row>
        <row r="898">
          <cell r="A898">
            <v>7418</v>
          </cell>
          <cell r="E898">
            <v>852</v>
          </cell>
          <cell r="F898" t="str">
            <v>3K1I</v>
          </cell>
        </row>
        <row r="899">
          <cell r="A899">
            <v>9630</v>
          </cell>
          <cell r="E899">
            <v>174</v>
          </cell>
          <cell r="F899" t="str">
            <v>GXEV</v>
          </cell>
        </row>
        <row r="900">
          <cell r="A900">
            <v>1852</v>
          </cell>
          <cell r="E900">
            <v>296</v>
          </cell>
          <cell r="F900" t="str">
            <v>TAR8</v>
          </cell>
        </row>
        <row r="901">
          <cell r="A901">
            <v>3074</v>
          </cell>
          <cell r="E901">
            <v>418</v>
          </cell>
          <cell r="F901" t="str">
            <v>6N4L</v>
          </cell>
        </row>
        <row r="902">
          <cell r="A902">
            <v>5296</v>
          </cell>
          <cell r="E902">
            <v>630</v>
          </cell>
          <cell r="F902" t="str">
            <v>J0HY</v>
          </cell>
        </row>
        <row r="903">
          <cell r="A903">
            <v>7418</v>
          </cell>
          <cell r="E903">
            <v>852</v>
          </cell>
          <cell r="F903" t="str">
            <v>WDUB</v>
          </cell>
        </row>
        <row r="904">
          <cell r="A904">
            <v>9630</v>
          </cell>
          <cell r="E904">
            <v>174</v>
          </cell>
          <cell r="F904" t="str">
            <v>9Q7O</v>
          </cell>
        </row>
        <row r="905">
          <cell r="A905">
            <v>1852</v>
          </cell>
          <cell r="E905">
            <v>296</v>
          </cell>
          <cell r="F905" t="str">
            <v>M3K1</v>
          </cell>
        </row>
        <row r="906">
          <cell r="A906">
            <v>3074</v>
          </cell>
          <cell r="E906">
            <v>418</v>
          </cell>
          <cell r="F906" t="str">
            <v>ZGXE</v>
          </cell>
        </row>
        <row r="907">
          <cell r="A907">
            <v>5296</v>
          </cell>
          <cell r="E907">
            <v>630</v>
          </cell>
          <cell r="F907" t="str">
            <v>CTAR</v>
          </cell>
        </row>
        <row r="908">
          <cell r="A908">
            <v>7418</v>
          </cell>
          <cell r="E908">
            <v>852</v>
          </cell>
          <cell r="F908" t="str">
            <v>P6N4</v>
          </cell>
        </row>
        <row r="909">
          <cell r="A909">
            <v>9630</v>
          </cell>
          <cell r="E909">
            <v>174</v>
          </cell>
          <cell r="F909" t="str">
            <v>2J0H</v>
          </cell>
        </row>
        <row r="910">
          <cell r="A910">
            <v>1852</v>
          </cell>
          <cell r="E910">
            <v>296</v>
          </cell>
          <cell r="F910" t="str">
            <v>FWDU</v>
          </cell>
        </row>
        <row r="911">
          <cell r="A911">
            <v>3074</v>
          </cell>
          <cell r="E911">
            <v>418</v>
          </cell>
          <cell r="F911" t="str">
            <v>S9Q7</v>
          </cell>
        </row>
        <row r="912">
          <cell r="A912">
            <v>5296</v>
          </cell>
          <cell r="E912">
            <v>630</v>
          </cell>
          <cell r="F912" t="str">
            <v>5M3K</v>
          </cell>
        </row>
        <row r="913">
          <cell r="A913">
            <v>7418</v>
          </cell>
          <cell r="E913">
            <v>852</v>
          </cell>
          <cell r="F913" t="str">
            <v>IZGX</v>
          </cell>
        </row>
        <row r="914">
          <cell r="A914">
            <v>9630</v>
          </cell>
          <cell r="E914">
            <v>174</v>
          </cell>
          <cell r="F914" t="str">
            <v>VCTA</v>
          </cell>
        </row>
        <row r="915">
          <cell r="A915">
            <v>185296</v>
          </cell>
          <cell r="E915">
            <v>296</v>
          </cell>
          <cell r="F915" t="str">
            <v>8P6N</v>
          </cell>
        </row>
        <row r="916">
          <cell r="A916">
            <v>3074</v>
          </cell>
          <cell r="E916">
            <v>418</v>
          </cell>
          <cell r="F916" t="str">
            <v>L2J0</v>
          </cell>
        </row>
        <row r="917">
          <cell r="A917">
            <v>5296</v>
          </cell>
          <cell r="E917">
            <v>630</v>
          </cell>
          <cell r="F917" t="str">
            <v>YFWD</v>
          </cell>
        </row>
        <row r="918">
          <cell r="A918">
            <v>7418</v>
          </cell>
          <cell r="E918">
            <v>852</v>
          </cell>
          <cell r="F918" t="str">
            <v>BS9Q</v>
          </cell>
        </row>
        <row r="919">
          <cell r="A919">
            <v>9630</v>
          </cell>
          <cell r="E919">
            <v>174</v>
          </cell>
          <cell r="F919" t="str">
            <v>O5M3</v>
          </cell>
        </row>
        <row r="920">
          <cell r="A920">
            <v>1852</v>
          </cell>
          <cell r="E920">
            <v>296</v>
          </cell>
          <cell r="F920" t="str">
            <v>1IZG</v>
          </cell>
        </row>
        <row r="921">
          <cell r="A921">
            <v>3074</v>
          </cell>
          <cell r="E921">
            <v>418</v>
          </cell>
          <cell r="F921" t="str">
            <v>EVCT</v>
          </cell>
        </row>
        <row r="922">
          <cell r="A922">
            <v>5296</v>
          </cell>
          <cell r="E922">
            <v>630</v>
          </cell>
          <cell r="F922" t="str">
            <v>R8P6</v>
          </cell>
        </row>
        <row r="923">
          <cell r="A923">
            <v>7418</v>
          </cell>
          <cell r="E923">
            <v>852</v>
          </cell>
          <cell r="F923" t="str">
            <v>4L2J</v>
          </cell>
        </row>
        <row r="924">
          <cell r="A924">
            <v>9630</v>
          </cell>
          <cell r="E924">
            <v>174</v>
          </cell>
          <cell r="F924" t="str">
            <v>HYFW</v>
          </cell>
        </row>
        <row r="925">
          <cell r="A925">
            <v>1852</v>
          </cell>
          <cell r="E925">
            <v>296</v>
          </cell>
          <cell r="F925" t="str">
            <v>UBS9</v>
          </cell>
        </row>
        <row r="926">
          <cell r="A926">
            <v>3074</v>
          </cell>
          <cell r="E926">
            <v>418</v>
          </cell>
          <cell r="F926" t="str">
            <v>7O5M</v>
          </cell>
        </row>
        <row r="927">
          <cell r="A927">
            <v>5296</v>
          </cell>
          <cell r="E927">
            <v>630</v>
          </cell>
          <cell r="F927" t="str">
            <v>K1IZ</v>
          </cell>
        </row>
        <row r="928">
          <cell r="A928">
            <v>741852</v>
          </cell>
          <cell r="E928">
            <v>852</v>
          </cell>
          <cell r="F928" t="str">
            <v>XEVC</v>
          </cell>
        </row>
        <row r="929">
          <cell r="A929">
            <v>963074</v>
          </cell>
          <cell r="E929">
            <v>174</v>
          </cell>
          <cell r="F929" t="str">
            <v>AR8P</v>
          </cell>
        </row>
        <row r="930">
          <cell r="A930">
            <v>1852</v>
          </cell>
          <cell r="E930">
            <v>296</v>
          </cell>
          <cell r="F930" t="str">
            <v>N4L2</v>
          </cell>
        </row>
        <row r="931">
          <cell r="A931">
            <v>3074</v>
          </cell>
          <cell r="E931">
            <v>418</v>
          </cell>
          <cell r="F931" t="str">
            <v>0HYF</v>
          </cell>
        </row>
        <row r="932">
          <cell r="A932">
            <v>5296</v>
          </cell>
          <cell r="E932">
            <v>630</v>
          </cell>
          <cell r="F932" t="str">
            <v>DUBS</v>
          </cell>
        </row>
        <row r="933">
          <cell r="A933">
            <v>7418</v>
          </cell>
          <cell r="E933">
            <v>852</v>
          </cell>
          <cell r="F933" t="str">
            <v>Q7O5</v>
          </cell>
        </row>
        <row r="934">
          <cell r="A934">
            <v>9630</v>
          </cell>
          <cell r="E934">
            <v>174</v>
          </cell>
          <cell r="F934" t="str">
            <v>3K1I</v>
          </cell>
        </row>
        <row r="935">
          <cell r="A935">
            <v>1852</v>
          </cell>
          <cell r="E935">
            <v>296</v>
          </cell>
          <cell r="F935" t="str">
            <v>GXEV</v>
          </cell>
        </row>
        <row r="936">
          <cell r="A936">
            <v>3074</v>
          </cell>
          <cell r="E936">
            <v>418</v>
          </cell>
          <cell r="F936" t="str">
            <v>TAR8</v>
          </cell>
        </row>
        <row r="937">
          <cell r="A937">
            <v>5296</v>
          </cell>
          <cell r="E937">
            <v>630</v>
          </cell>
          <cell r="F937" t="str">
            <v>6N4L</v>
          </cell>
        </row>
        <row r="938">
          <cell r="A938">
            <v>7418</v>
          </cell>
          <cell r="E938">
            <v>852</v>
          </cell>
          <cell r="F938" t="str">
            <v>J0HY</v>
          </cell>
        </row>
        <row r="939">
          <cell r="A939">
            <v>9630</v>
          </cell>
          <cell r="E939">
            <v>174</v>
          </cell>
          <cell r="F939" t="str">
            <v>WDUB</v>
          </cell>
        </row>
        <row r="940">
          <cell r="A940">
            <v>1852</v>
          </cell>
          <cell r="E940">
            <v>296</v>
          </cell>
          <cell r="F940" t="str">
            <v>9Q7O</v>
          </cell>
        </row>
        <row r="941">
          <cell r="A941">
            <v>3074</v>
          </cell>
          <cell r="E941">
            <v>418</v>
          </cell>
          <cell r="F941" t="str">
            <v>M3K1</v>
          </cell>
        </row>
        <row r="942">
          <cell r="A942">
            <v>5296</v>
          </cell>
          <cell r="E942">
            <v>630</v>
          </cell>
          <cell r="F942" t="str">
            <v>ZGXE</v>
          </cell>
        </row>
        <row r="943">
          <cell r="A943">
            <v>7418</v>
          </cell>
          <cell r="E943">
            <v>852</v>
          </cell>
          <cell r="F943" t="str">
            <v>CTAR</v>
          </cell>
        </row>
        <row r="944">
          <cell r="A944">
            <v>9630</v>
          </cell>
          <cell r="E944">
            <v>174</v>
          </cell>
          <cell r="F944" t="str">
            <v>P6N4</v>
          </cell>
        </row>
        <row r="945">
          <cell r="A945">
            <v>1852</v>
          </cell>
          <cell r="E945">
            <v>296</v>
          </cell>
          <cell r="F945" t="str">
            <v>2J0H</v>
          </cell>
        </row>
        <row r="946">
          <cell r="A946">
            <v>3074</v>
          </cell>
          <cell r="E946">
            <v>418</v>
          </cell>
          <cell r="F946" t="str">
            <v>FWDU</v>
          </cell>
        </row>
        <row r="947">
          <cell r="A947">
            <v>5296</v>
          </cell>
          <cell r="E947">
            <v>630</v>
          </cell>
          <cell r="F947" t="str">
            <v>S9Q7</v>
          </cell>
        </row>
        <row r="948">
          <cell r="A948">
            <v>7418</v>
          </cell>
          <cell r="E948">
            <v>852</v>
          </cell>
          <cell r="F948" t="str">
            <v>5M3K</v>
          </cell>
        </row>
        <row r="949">
          <cell r="A949">
            <v>9630</v>
          </cell>
          <cell r="E949">
            <v>174</v>
          </cell>
          <cell r="F949" t="str">
            <v>IZGX</v>
          </cell>
        </row>
        <row r="950">
          <cell r="A950">
            <v>1852</v>
          </cell>
          <cell r="E950">
            <v>296</v>
          </cell>
          <cell r="F950" t="str">
            <v>VCTA</v>
          </cell>
        </row>
        <row r="951">
          <cell r="A951">
            <v>3074</v>
          </cell>
          <cell r="E951">
            <v>418</v>
          </cell>
          <cell r="F951" t="str">
            <v>8P6N</v>
          </cell>
        </row>
        <row r="952">
          <cell r="A952">
            <v>5296</v>
          </cell>
          <cell r="E952">
            <v>630</v>
          </cell>
          <cell r="F952" t="str">
            <v>L2J0</v>
          </cell>
        </row>
        <row r="953">
          <cell r="A953">
            <v>7418</v>
          </cell>
          <cell r="E953">
            <v>852</v>
          </cell>
          <cell r="F953" t="str">
            <v>YFWD</v>
          </cell>
        </row>
        <row r="954">
          <cell r="A954">
            <v>9630</v>
          </cell>
          <cell r="E954">
            <v>174</v>
          </cell>
          <cell r="F954" t="str">
            <v>BS9Q</v>
          </cell>
        </row>
        <row r="955">
          <cell r="A955">
            <v>1852</v>
          </cell>
          <cell r="E955">
            <v>296</v>
          </cell>
          <cell r="F955" t="str">
            <v>O5M3</v>
          </cell>
        </row>
        <row r="956">
          <cell r="A956">
            <v>3074</v>
          </cell>
          <cell r="E956">
            <v>418</v>
          </cell>
          <cell r="F956" t="str">
            <v>1IZG</v>
          </cell>
        </row>
        <row r="957">
          <cell r="A957">
            <v>5296</v>
          </cell>
          <cell r="E957">
            <v>630</v>
          </cell>
          <cell r="F957" t="str">
            <v>EVCT</v>
          </cell>
        </row>
        <row r="958">
          <cell r="A958">
            <v>7418</v>
          </cell>
          <cell r="E958">
            <v>852</v>
          </cell>
          <cell r="F958" t="str">
            <v>R8P6</v>
          </cell>
        </row>
        <row r="959">
          <cell r="A959">
            <v>9630</v>
          </cell>
          <cell r="E959">
            <v>174</v>
          </cell>
          <cell r="F959" t="str">
            <v>4L2J</v>
          </cell>
        </row>
        <row r="960">
          <cell r="A960">
            <v>1852</v>
          </cell>
          <cell r="E960">
            <v>296</v>
          </cell>
          <cell r="F960" t="str">
            <v>HYFW</v>
          </cell>
        </row>
        <row r="961">
          <cell r="A961">
            <v>3074</v>
          </cell>
          <cell r="E961">
            <v>418</v>
          </cell>
          <cell r="F961" t="str">
            <v>UBS9</v>
          </cell>
        </row>
        <row r="962">
          <cell r="A962">
            <v>5296</v>
          </cell>
          <cell r="E962">
            <v>630</v>
          </cell>
          <cell r="F962" t="str">
            <v>7O5M</v>
          </cell>
        </row>
        <row r="963">
          <cell r="A963">
            <v>7418</v>
          </cell>
          <cell r="E963">
            <v>852</v>
          </cell>
          <cell r="F963" t="str">
            <v>K1IZ</v>
          </cell>
        </row>
        <row r="964">
          <cell r="A964">
            <v>9630</v>
          </cell>
          <cell r="E964">
            <v>174</v>
          </cell>
          <cell r="F964" t="str">
            <v>XEVC</v>
          </cell>
        </row>
        <row r="965">
          <cell r="A965">
            <v>1852</v>
          </cell>
          <cell r="E965">
            <v>296</v>
          </cell>
          <cell r="F965" t="str">
            <v>AR8P</v>
          </cell>
        </row>
        <row r="966">
          <cell r="A966">
            <v>3074</v>
          </cell>
          <cell r="E966">
            <v>418</v>
          </cell>
          <cell r="F966" t="str">
            <v>N4L2</v>
          </cell>
        </row>
        <row r="967">
          <cell r="A967">
            <v>5296</v>
          </cell>
          <cell r="E967">
            <v>630</v>
          </cell>
          <cell r="F967" t="str">
            <v>0HYF</v>
          </cell>
        </row>
        <row r="968">
          <cell r="A968">
            <v>7418</v>
          </cell>
          <cell r="E968">
            <v>852</v>
          </cell>
          <cell r="F968" t="str">
            <v>DUBS</v>
          </cell>
        </row>
        <row r="969">
          <cell r="A969">
            <v>9630</v>
          </cell>
          <cell r="E969">
            <v>174</v>
          </cell>
          <cell r="F969" t="str">
            <v>Q7O5</v>
          </cell>
        </row>
        <row r="970">
          <cell r="A970">
            <v>1852</v>
          </cell>
          <cell r="E970">
            <v>296</v>
          </cell>
          <cell r="F970" t="str">
            <v>3K1I</v>
          </cell>
        </row>
        <row r="971">
          <cell r="A971">
            <v>3074</v>
          </cell>
          <cell r="E971">
            <v>418</v>
          </cell>
          <cell r="F971" t="str">
            <v>GXEV</v>
          </cell>
        </row>
        <row r="972">
          <cell r="A972">
            <v>529630</v>
          </cell>
          <cell r="E972">
            <v>630</v>
          </cell>
          <cell r="F972" t="str">
            <v>TAR8</v>
          </cell>
        </row>
        <row r="973">
          <cell r="A973">
            <v>741852</v>
          </cell>
          <cell r="E973">
            <v>852</v>
          </cell>
          <cell r="F973" t="str">
            <v>6N4L</v>
          </cell>
        </row>
        <row r="974">
          <cell r="A974">
            <v>963074</v>
          </cell>
          <cell r="E974">
            <v>174</v>
          </cell>
          <cell r="F974" t="str">
            <v>J0HY</v>
          </cell>
        </row>
        <row r="975">
          <cell r="A975">
            <v>185296</v>
          </cell>
          <cell r="E975">
            <v>296</v>
          </cell>
          <cell r="F975" t="str">
            <v>WDUB</v>
          </cell>
        </row>
        <row r="976">
          <cell r="A976">
            <v>307418</v>
          </cell>
          <cell r="E976">
            <v>418</v>
          </cell>
          <cell r="F976" t="str">
            <v>9Q7O</v>
          </cell>
        </row>
        <row r="977">
          <cell r="A977">
            <v>529630</v>
          </cell>
          <cell r="E977">
            <v>630</v>
          </cell>
          <cell r="F977" t="str">
            <v>M3K1</v>
          </cell>
        </row>
        <row r="978">
          <cell r="A978">
            <v>741852</v>
          </cell>
          <cell r="E978">
            <v>852</v>
          </cell>
          <cell r="F978" t="str">
            <v>ZGXE</v>
          </cell>
        </row>
        <row r="979">
          <cell r="A979">
            <v>9630</v>
          </cell>
          <cell r="E979">
            <v>174</v>
          </cell>
          <cell r="F979" t="str">
            <v>CTAR</v>
          </cell>
        </row>
        <row r="980">
          <cell r="A980">
            <v>1852</v>
          </cell>
          <cell r="E980">
            <v>296</v>
          </cell>
          <cell r="F980" t="str">
            <v>P6N4</v>
          </cell>
        </row>
        <row r="981">
          <cell r="A981">
            <v>3074</v>
          </cell>
          <cell r="E981">
            <v>418</v>
          </cell>
          <cell r="F981" t="str">
            <v>2J0H</v>
          </cell>
        </row>
        <row r="982">
          <cell r="A982">
            <v>5296</v>
          </cell>
          <cell r="E982">
            <v>630</v>
          </cell>
          <cell r="F982" t="str">
            <v>FWDU</v>
          </cell>
        </row>
        <row r="983">
          <cell r="A983">
            <v>7418</v>
          </cell>
          <cell r="E983">
            <v>852</v>
          </cell>
          <cell r="F983" t="str">
            <v>S9Q7</v>
          </cell>
        </row>
        <row r="984">
          <cell r="A984">
            <v>9630</v>
          </cell>
          <cell r="E984">
            <v>174</v>
          </cell>
          <cell r="F984" t="str">
            <v>5M3K</v>
          </cell>
        </row>
        <row r="985">
          <cell r="A985">
            <v>1852</v>
          </cell>
          <cell r="E985">
            <v>296</v>
          </cell>
          <cell r="F985" t="str">
            <v>IZGX</v>
          </cell>
        </row>
        <row r="986">
          <cell r="A986">
            <v>3074</v>
          </cell>
          <cell r="E986">
            <v>418</v>
          </cell>
          <cell r="F986" t="str">
            <v>VCTA</v>
          </cell>
        </row>
        <row r="987">
          <cell r="A987">
            <v>5296</v>
          </cell>
          <cell r="E987">
            <v>630</v>
          </cell>
          <cell r="F987" t="str">
            <v>8P6N</v>
          </cell>
        </row>
        <row r="988">
          <cell r="A988">
            <v>7418</v>
          </cell>
          <cell r="E988">
            <v>852</v>
          </cell>
          <cell r="F988" t="str">
            <v>L2J0</v>
          </cell>
        </row>
        <row r="989">
          <cell r="A989">
            <v>9630</v>
          </cell>
          <cell r="E989">
            <v>174</v>
          </cell>
          <cell r="F989" t="str">
            <v>YFWD</v>
          </cell>
        </row>
        <row r="990">
          <cell r="A990">
            <v>1852</v>
          </cell>
          <cell r="E990">
            <v>296</v>
          </cell>
          <cell r="F990" t="str">
            <v>BS9Q</v>
          </cell>
        </row>
        <row r="991">
          <cell r="A991">
            <v>3074</v>
          </cell>
          <cell r="E991">
            <v>418</v>
          </cell>
          <cell r="F991" t="str">
            <v>O5M3</v>
          </cell>
        </row>
        <row r="992">
          <cell r="A992">
            <v>5296</v>
          </cell>
          <cell r="E992">
            <v>630</v>
          </cell>
          <cell r="F992" t="str">
            <v>1IZG</v>
          </cell>
        </row>
        <row r="993">
          <cell r="A993">
            <v>7418</v>
          </cell>
          <cell r="E993">
            <v>852</v>
          </cell>
          <cell r="F993" t="str">
            <v>EVCT</v>
          </cell>
        </row>
        <row r="994">
          <cell r="A994">
            <v>9630</v>
          </cell>
          <cell r="E994">
            <v>174</v>
          </cell>
          <cell r="F994" t="str">
            <v>R8P6</v>
          </cell>
        </row>
        <row r="995">
          <cell r="A995">
            <v>1852</v>
          </cell>
          <cell r="E995">
            <v>296</v>
          </cell>
          <cell r="F995" t="str">
            <v>4L2J</v>
          </cell>
        </row>
        <row r="996">
          <cell r="A996">
            <v>3074</v>
          </cell>
          <cell r="E996">
            <v>418</v>
          </cell>
          <cell r="F996" t="str">
            <v>HYFW</v>
          </cell>
        </row>
        <row r="997">
          <cell r="A997">
            <v>5296</v>
          </cell>
          <cell r="E997">
            <v>630</v>
          </cell>
          <cell r="F997" t="str">
            <v>UBS9</v>
          </cell>
        </row>
        <row r="998">
          <cell r="A998">
            <v>7418</v>
          </cell>
          <cell r="E998">
            <v>852</v>
          </cell>
          <cell r="F998" t="str">
            <v>7O5M</v>
          </cell>
        </row>
        <row r="999">
          <cell r="A999">
            <v>9630</v>
          </cell>
          <cell r="E999">
            <v>174</v>
          </cell>
          <cell r="F999" t="str">
            <v>K1IZ</v>
          </cell>
        </row>
        <row r="1000">
          <cell r="A1000">
            <v>1852</v>
          </cell>
          <cell r="E1000">
            <v>296</v>
          </cell>
          <cell r="F1000" t="str">
            <v>XEVC</v>
          </cell>
        </row>
        <row r="1001">
          <cell r="A1001">
            <v>3074</v>
          </cell>
          <cell r="E1001">
            <v>418</v>
          </cell>
          <cell r="F1001" t="str">
            <v>AR8P</v>
          </cell>
        </row>
        <row r="1002">
          <cell r="A1002">
            <v>5296</v>
          </cell>
          <cell r="E1002">
            <v>630</v>
          </cell>
          <cell r="F1002" t="str">
            <v>N4L2</v>
          </cell>
        </row>
        <row r="1003">
          <cell r="A1003">
            <v>7418</v>
          </cell>
          <cell r="E1003">
            <v>852</v>
          </cell>
          <cell r="F1003" t="str">
            <v>0HYF</v>
          </cell>
        </row>
        <row r="1004">
          <cell r="A1004">
            <v>9630</v>
          </cell>
          <cell r="E1004">
            <v>174</v>
          </cell>
          <cell r="F1004" t="str">
            <v>DUBS</v>
          </cell>
        </row>
        <row r="1005">
          <cell r="A1005">
            <v>1852</v>
          </cell>
          <cell r="E1005">
            <v>296</v>
          </cell>
          <cell r="F1005" t="str">
            <v>Q7O5</v>
          </cell>
        </row>
        <row r="1006">
          <cell r="A1006">
            <v>3074</v>
          </cell>
          <cell r="E1006">
            <v>418</v>
          </cell>
          <cell r="F1006" t="str">
            <v>3K1I</v>
          </cell>
        </row>
        <row r="1007">
          <cell r="A1007">
            <v>5296</v>
          </cell>
          <cell r="E1007">
            <v>630</v>
          </cell>
          <cell r="F1007" t="str">
            <v>GXEV</v>
          </cell>
        </row>
        <row r="1008">
          <cell r="A1008">
            <v>7418</v>
          </cell>
          <cell r="E1008">
            <v>852</v>
          </cell>
          <cell r="F1008" t="str">
            <v>TAR8</v>
          </cell>
        </row>
        <row r="1009">
          <cell r="A1009">
            <v>9630</v>
          </cell>
          <cell r="E1009">
            <v>174</v>
          </cell>
          <cell r="F1009" t="str">
            <v>6N4L</v>
          </cell>
        </row>
        <row r="1010">
          <cell r="A1010">
            <v>1852</v>
          </cell>
          <cell r="E1010">
            <v>296</v>
          </cell>
          <cell r="F1010" t="str">
            <v>J0HY</v>
          </cell>
        </row>
        <row r="1011">
          <cell r="A1011">
            <v>3074</v>
          </cell>
          <cell r="E1011">
            <v>418</v>
          </cell>
          <cell r="F1011" t="str">
            <v>WDUB</v>
          </cell>
        </row>
        <row r="1012">
          <cell r="A1012">
            <v>5296</v>
          </cell>
          <cell r="E1012">
            <v>630</v>
          </cell>
          <cell r="F1012" t="str">
            <v>9Q7O</v>
          </cell>
        </row>
        <row r="1013">
          <cell r="A1013">
            <v>7418</v>
          </cell>
          <cell r="E1013">
            <v>852</v>
          </cell>
          <cell r="F1013" t="str">
            <v>M3K1</v>
          </cell>
        </row>
        <row r="1014">
          <cell r="A1014">
            <v>963074</v>
          </cell>
          <cell r="E1014">
            <v>174</v>
          </cell>
          <cell r="F1014" t="str">
            <v>ZGXE</v>
          </cell>
        </row>
        <row r="1015">
          <cell r="A1015">
            <v>1852</v>
          </cell>
          <cell r="E1015">
            <v>296</v>
          </cell>
          <cell r="F1015" t="str">
            <v>CTAR</v>
          </cell>
        </row>
        <row r="1016">
          <cell r="A1016">
            <v>3074</v>
          </cell>
          <cell r="E1016">
            <v>418</v>
          </cell>
          <cell r="F1016" t="str">
            <v>P6N4</v>
          </cell>
        </row>
        <row r="1017">
          <cell r="A1017">
            <v>5296</v>
          </cell>
          <cell r="E1017">
            <v>6307</v>
          </cell>
          <cell r="F1017" t="str">
            <v>2J0H</v>
          </cell>
        </row>
        <row r="1018">
          <cell r="A1018">
            <v>7418</v>
          </cell>
          <cell r="E1018">
            <v>8529</v>
          </cell>
          <cell r="F1018" t="str">
            <v>FWDU</v>
          </cell>
        </row>
        <row r="1019">
          <cell r="A1019">
            <v>9630</v>
          </cell>
          <cell r="E1019">
            <v>1741</v>
          </cell>
          <cell r="F1019" t="str">
            <v>S9Q7</v>
          </cell>
        </row>
        <row r="1020">
          <cell r="A1020">
            <v>1852</v>
          </cell>
          <cell r="E1020">
            <v>2963</v>
          </cell>
          <cell r="F1020" t="str">
            <v>5M3K</v>
          </cell>
        </row>
        <row r="1021">
          <cell r="A1021">
            <v>3074</v>
          </cell>
          <cell r="E1021">
            <v>4185</v>
          </cell>
          <cell r="F1021" t="str">
            <v>IZGX</v>
          </cell>
        </row>
        <row r="1022">
          <cell r="A1022">
            <v>5296</v>
          </cell>
          <cell r="E1022">
            <v>6307</v>
          </cell>
          <cell r="F1022" t="str">
            <v>VCTA</v>
          </cell>
        </row>
        <row r="1023">
          <cell r="A1023">
            <v>7418</v>
          </cell>
          <cell r="E1023">
            <v>8529</v>
          </cell>
          <cell r="F1023" t="str">
            <v>8P6N</v>
          </cell>
        </row>
        <row r="1024">
          <cell r="A1024">
            <v>9630</v>
          </cell>
          <cell r="E1024">
            <v>1741</v>
          </cell>
          <cell r="F1024" t="str">
            <v>L2J0</v>
          </cell>
        </row>
        <row r="1025">
          <cell r="A1025">
            <v>1852</v>
          </cell>
          <cell r="E1025">
            <v>2963</v>
          </cell>
          <cell r="F1025" t="str">
            <v>YFWD</v>
          </cell>
        </row>
        <row r="1026">
          <cell r="A1026">
            <v>3074</v>
          </cell>
          <cell r="E1026">
            <v>4185</v>
          </cell>
          <cell r="F1026" t="str">
            <v>BS9Q</v>
          </cell>
        </row>
        <row r="1027">
          <cell r="A1027">
            <v>529630</v>
          </cell>
          <cell r="E1027">
            <v>6307</v>
          </cell>
          <cell r="F1027" t="str">
            <v>O5M3</v>
          </cell>
        </row>
        <row r="1028">
          <cell r="A1028">
            <v>741852</v>
          </cell>
          <cell r="E1028">
            <v>852</v>
          </cell>
          <cell r="F1028" t="str">
            <v>1IZG</v>
          </cell>
        </row>
        <row r="1029">
          <cell r="A1029">
            <v>9630</v>
          </cell>
          <cell r="E1029">
            <v>1741</v>
          </cell>
          <cell r="F1029" t="str">
            <v>EVCT</v>
          </cell>
        </row>
        <row r="1030">
          <cell r="A1030">
            <v>1852</v>
          </cell>
          <cell r="E1030">
            <v>2963</v>
          </cell>
          <cell r="F1030" t="str">
            <v>R8P6</v>
          </cell>
        </row>
        <row r="1031">
          <cell r="A1031">
            <v>3074</v>
          </cell>
          <cell r="E1031">
            <v>4185</v>
          </cell>
          <cell r="F1031" t="str">
            <v>4L2J</v>
          </cell>
        </row>
        <row r="1032">
          <cell r="A1032">
            <v>5296</v>
          </cell>
          <cell r="E1032">
            <v>6307</v>
          </cell>
          <cell r="F1032" t="str">
            <v>HYFW</v>
          </cell>
        </row>
        <row r="1033">
          <cell r="A1033">
            <v>7418</v>
          </cell>
          <cell r="E1033">
            <v>8529</v>
          </cell>
          <cell r="F1033" t="str">
            <v>UBS9</v>
          </cell>
        </row>
        <row r="1034">
          <cell r="A1034">
            <v>9630</v>
          </cell>
          <cell r="E1034">
            <v>1741</v>
          </cell>
          <cell r="F1034" t="str">
            <v>7O5M</v>
          </cell>
        </row>
        <row r="1035">
          <cell r="A1035">
            <v>1852</v>
          </cell>
          <cell r="E1035">
            <v>2963</v>
          </cell>
          <cell r="F1035" t="str">
            <v>K1IZ</v>
          </cell>
        </row>
        <row r="1036">
          <cell r="A1036">
            <v>3074</v>
          </cell>
          <cell r="E1036">
            <v>4185</v>
          </cell>
          <cell r="F1036" t="str">
            <v>XEVC</v>
          </cell>
        </row>
        <row r="1037">
          <cell r="A1037">
            <v>5296</v>
          </cell>
          <cell r="E1037">
            <v>6307</v>
          </cell>
          <cell r="F1037" t="str">
            <v>AR8P</v>
          </cell>
        </row>
        <row r="1038">
          <cell r="A1038">
            <v>7418</v>
          </cell>
          <cell r="E1038">
            <v>8529</v>
          </cell>
          <cell r="F1038" t="str">
            <v>N4L2</v>
          </cell>
        </row>
        <row r="1039">
          <cell r="A1039">
            <v>9630</v>
          </cell>
          <cell r="E1039">
            <v>1741</v>
          </cell>
          <cell r="F1039" t="str">
            <v>0HYF</v>
          </cell>
        </row>
        <row r="1040">
          <cell r="A1040">
            <v>1852</v>
          </cell>
          <cell r="E1040">
            <v>2963</v>
          </cell>
          <cell r="F1040" t="str">
            <v>DUBS</v>
          </cell>
        </row>
        <row r="1041">
          <cell r="A1041">
            <v>3074</v>
          </cell>
          <cell r="E1041">
            <v>4185</v>
          </cell>
          <cell r="F1041" t="str">
            <v>Q7O5</v>
          </cell>
        </row>
        <row r="1042">
          <cell r="A1042">
            <v>5296</v>
          </cell>
          <cell r="E1042">
            <v>6307</v>
          </cell>
          <cell r="F1042" t="str">
            <v>3K1I</v>
          </cell>
        </row>
        <row r="1043">
          <cell r="A1043">
            <v>7418</v>
          </cell>
          <cell r="E1043">
            <v>8529</v>
          </cell>
          <cell r="F1043" t="str">
            <v>GXEV</v>
          </cell>
        </row>
        <row r="1044">
          <cell r="A1044">
            <v>9630</v>
          </cell>
          <cell r="E1044">
            <v>1741</v>
          </cell>
          <cell r="F1044" t="str">
            <v>TAR8</v>
          </cell>
        </row>
        <row r="1045">
          <cell r="A1045">
            <v>1852</v>
          </cell>
          <cell r="E1045">
            <v>2963</v>
          </cell>
          <cell r="F1045" t="str">
            <v>6N4L</v>
          </cell>
        </row>
        <row r="1046">
          <cell r="A1046">
            <v>3074</v>
          </cell>
          <cell r="E1046">
            <v>4185</v>
          </cell>
          <cell r="F1046" t="str">
            <v>J0HY</v>
          </cell>
        </row>
        <row r="1047">
          <cell r="A1047">
            <v>5296</v>
          </cell>
          <cell r="E1047">
            <v>6307</v>
          </cell>
          <cell r="F1047" t="str">
            <v>WDUB</v>
          </cell>
        </row>
        <row r="1048">
          <cell r="A1048">
            <v>7418</v>
          </cell>
          <cell r="E1048">
            <v>8529</v>
          </cell>
          <cell r="F1048" t="str">
            <v>9Q7O</v>
          </cell>
        </row>
        <row r="1049">
          <cell r="A1049">
            <v>9630</v>
          </cell>
          <cell r="E1049">
            <v>1741</v>
          </cell>
          <cell r="F1049" t="str">
            <v>M3K1</v>
          </cell>
        </row>
        <row r="1050">
          <cell r="A1050">
            <v>1852</v>
          </cell>
          <cell r="E1050">
            <v>2963</v>
          </cell>
          <cell r="F1050" t="str">
            <v>ZGXE</v>
          </cell>
        </row>
        <row r="1051">
          <cell r="A1051">
            <v>3074</v>
          </cell>
          <cell r="E1051">
            <v>4185</v>
          </cell>
          <cell r="F1051" t="str">
            <v>CTAR</v>
          </cell>
        </row>
        <row r="1052">
          <cell r="A1052">
            <v>5296</v>
          </cell>
          <cell r="E1052">
            <v>6307</v>
          </cell>
          <cell r="F1052" t="str">
            <v>P6N4</v>
          </cell>
        </row>
        <row r="1053">
          <cell r="A1053">
            <v>7418</v>
          </cell>
          <cell r="E1053">
            <v>8529</v>
          </cell>
          <cell r="F1053" t="str">
            <v>2J0H</v>
          </cell>
        </row>
        <row r="1054">
          <cell r="A1054">
            <v>9630</v>
          </cell>
          <cell r="E1054">
            <v>1741</v>
          </cell>
          <cell r="F1054" t="str">
            <v>FWDU</v>
          </cell>
        </row>
        <row r="1055">
          <cell r="A1055">
            <v>1852</v>
          </cell>
          <cell r="E1055">
            <v>2963</v>
          </cell>
          <cell r="F1055" t="str">
            <v>S9Q7</v>
          </cell>
        </row>
        <row r="1056">
          <cell r="A1056">
            <v>3074</v>
          </cell>
          <cell r="E1056">
            <v>4185</v>
          </cell>
          <cell r="F1056" t="str">
            <v>5M3K</v>
          </cell>
        </row>
        <row r="1057">
          <cell r="A1057">
            <v>5296</v>
          </cell>
          <cell r="E1057">
            <v>6307</v>
          </cell>
          <cell r="F1057" t="str">
            <v>IZGX</v>
          </cell>
        </row>
        <row r="1058">
          <cell r="A1058">
            <v>7418</v>
          </cell>
          <cell r="E1058">
            <v>8529</v>
          </cell>
          <cell r="F1058" t="str">
            <v>VCTA</v>
          </cell>
        </row>
        <row r="1059">
          <cell r="A1059">
            <v>9630</v>
          </cell>
          <cell r="E1059">
            <v>1741</v>
          </cell>
          <cell r="F1059" t="str">
            <v>8P6N</v>
          </cell>
        </row>
        <row r="1060">
          <cell r="A1060">
            <v>1852</v>
          </cell>
          <cell r="E1060">
            <v>2963</v>
          </cell>
          <cell r="F1060" t="str">
            <v>L2J0</v>
          </cell>
        </row>
        <row r="1061">
          <cell r="A1061">
            <v>3074</v>
          </cell>
          <cell r="E1061">
            <v>4185</v>
          </cell>
          <cell r="F1061" t="str">
            <v>YFWD</v>
          </cell>
        </row>
        <row r="1062">
          <cell r="A1062">
            <v>5296</v>
          </cell>
          <cell r="E1062">
            <v>6307</v>
          </cell>
          <cell r="F1062" t="str">
            <v>BS9Q</v>
          </cell>
        </row>
        <row r="1063">
          <cell r="A1063">
            <v>7418</v>
          </cell>
          <cell r="E1063">
            <v>8529</v>
          </cell>
          <cell r="F1063" t="str">
            <v>O5M3</v>
          </cell>
        </row>
        <row r="1064">
          <cell r="A1064">
            <v>9630</v>
          </cell>
          <cell r="E1064">
            <v>1741</v>
          </cell>
          <cell r="F1064" t="str">
            <v>1IZG</v>
          </cell>
        </row>
        <row r="1065">
          <cell r="A1065">
            <v>1852</v>
          </cell>
          <cell r="E1065">
            <v>2963</v>
          </cell>
          <cell r="F1065" t="str">
            <v>EVCT</v>
          </cell>
        </row>
        <row r="1066">
          <cell r="A1066">
            <v>3074</v>
          </cell>
          <cell r="E1066">
            <v>4185</v>
          </cell>
          <cell r="F1066" t="str">
            <v>R8P6</v>
          </cell>
        </row>
        <row r="1067">
          <cell r="A1067">
            <v>5296</v>
          </cell>
          <cell r="E1067">
            <v>6307</v>
          </cell>
          <cell r="F1067" t="str">
            <v>4L2J</v>
          </cell>
        </row>
        <row r="1068">
          <cell r="A1068">
            <v>7418</v>
          </cell>
          <cell r="E1068">
            <v>8529</v>
          </cell>
          <cell r="F1068" t="str">
            <v>HYFW</v>
          </cell>
        </row>
        <row r="1069">
          <cell r="A1069">
            <v>9630</v>
          </cell>
          <cell r="E1069">
            <v>1741</v>
          </cell>
          <cell r="F1069" t="str">
            <v>UBS9</v>
          </cell>
        </row>
        <row r="1070">
          <cell r="A1070">
            <v>1852</v>
          </cell>
          <cell r="E1070">
            <v>2963</v>
          </cell>
          <cell r="F1070" t="str">
            <v>7O5M</v>
          </cell>
        </row>
        <row r="1071">
          <cell r="A1071">
            <v>307418</v>
          </cell>
          <cell r="E1071">
            <v>418</v>
          </cell>
          <cell r="F1071" t="str">
            <v>K1IZ</v>
          </cell>
        </row>
        <row r="1072">
          <cell r="A1072">
            <v>5296</v>
          </cell>
          <cell r="E1072">
            <v>6307</v>
          </cell>
          <cell r="F1072" t="str">
            <v>XEVC</v>
          </cell>
        </row>
        <row r="1073">
          <cell r="A1073">
            <v>7418</v>
          </cell>
          <cell r="E1073">
            <v>8529</v>
          </cell>
          <cell r="F1073" t="str">
            <v>AR8P</v>
          </cell>
        </row>
        <row r="1074">
          <cell r="A1074">
            <v>9630</v>
          </cell>
          <cell r="E1074">
            <v>1741</v>
          </cell>
          <cell r="F1074" t="str">
            <v>N4L2</v>
          </cell>
        </row>
        <row r="1075">
          <cell r="A1075">
            <v>1852</v>
          </cell>
          <cell r="E1075">
            <v>2963</v>
          </cell>
          <cell r="F1075" t="str">
            <v>0HYF</v>
          </cell>
        </row>
        <row r="1076">
          <cell r="A1076">
            <v>3074</v>
          </cell>
          <cell r="E1076">
            <v>4185</v>
          </cell>
          <cell r="F1076" t="str">
            <v>DUBS</v>
          </cell>
        </row>
        <row r="1077">
          <cell r="A1077">
            <v>5296</v>
          </cell>
          <cell r="E1077">
            <v>6307</v>
          </cell>
          <cell r="F1077" t="str">
            <v>Q7O5</v>
          </cell>
        </row>
        <row r="1078">
          <cell r="A1078">
            <v>7418</v>
          </cell>
          <cell r="E1078">
            <v>8529</v>
          </cell>
          <cell r="F1078" t="str">
            <v>3K1I</v>
          </cell>
        </row>
        <row r="1079">
          <cell r="A1079">
            <v>9630</v>
          </cell>
          <cell r="E1079">
            <v>1741</v>
          </cell>
          <cell r="F1079" t="str">
            <v>GXEV</v>
          </cell>
        </row>
        <row r="1080">
          <cell r="A1080">
            <v>1852</v>
          </cell>
          <cell r="E1080">
            <v>2963</v>
          </cell>
          <cell r="F1080" t="str">
            <v>TAR8</v>
          </cell>
        </row>
        <row r="1081">
          <cell r="A1081">
            <v>3074</v>
          </cell>
          <cell r="E1081">
            <v>4185</v>
          </cell>
          <cell r="F1081" t="str">
            <v>6N4L</v>
          </cell>
        </row>
        <row r="1082">
          <cell r="A1082">
            <v>5296</v>
          </cell>
          <cell r="E1082">
            <v>6307</v>
          </cell>
          <cell r="F1082" t="str">
            <v>J0HY</v>
          </cell>
        </row>
        <row r="1083">
          <cell r="A1083">
            <v>7418</v>
          </cell>
          <cell r="E1083">
            <v>8529</v>
          </cell>
          <cell r="F1083" t="str">
            <v>WDUB</v>
          </cell>
        </row>
        <row r="1084">
          <cell r="A1084">
            <v>9630</v>
          </cell>
          <cell r="E1084">
            <v>1741</v>
          </cell>
          <cell r="F1084" t="str">
            <v>9Q7O</v>
          </cell>
        </row>
        <row r="1085">
          <cell r="A1085">
            <v>1852</v>
          </cell>
          <cell r="E1085">
            <v>2963</v>
          </cell>
          <cell r="F1085" t="str">
            <v>M3K1</v>
          </cell>
        </row>
        <row r="1086">
          <cell r="A1086">
            <v>3074</v>
          </cell>
          <cell r="E1086">
            <v>4185</v>
          </cell>
          <cell r="F1086" t="str">
            <v>ZGXE</v>
          </cell>
        </row>
        <row r="1087">
          <cell r="A1087">
            <v>5296</v>
          </cell>
          <cell r="E1087">
            <v>6307</v>
          </cell>
          <cell r="F1087" t="str">
            <v>CTAR</v>
          </cell>
        </row>
        <row r="1088">
          <cell r="A1088">
            <v>7418</v>
          </cell>
          <cell r="E1088">
            <v>8529</v>
          </cell>
          <cell r="F1088" t="str">
            <v>P6N4</v>
          </cell>
        </row>
        <row r="1089">
          <cell r="A1089">
            <v>9630</v>
          </cell>
          <cell r="E1089">
            <v>1741</v>
          </cell>
          <cell r="F1089" t="str">
            <v>2J0H</v>
          </cell>
        </row>
        <row r="1090">
          <cell r="A1090">
            <v>1852</v>
          </cell>
          <cell r="E1090">
            <v>2963</v>
          </cell>
          <cell r="F1090" t="str">
            <v>FWDU</v>
          </cell>
        </row>
        <row r="1091">
          <cell r="A1091">
            <v>3074</v>
          </cell>
          <cell r="E1091">
            <v>4185</v>
          </cell>
          <cell r="F1091" t="str">
            <v>S9Q7</v>
          </cell>
        </row>
        <row r="1092">
          <cell r="A1092">
            <v>5296</v>
          </cell>
          <cell r="E1092">
            <v>6307</v>
          </cell>
          <cell r="F1092" t="str">
            <v>5M3K</v>
          </cell>
        </row>
        <row r="1093">
          <cell r="A1093">
            <v>7418</v>
          </cell>
          <cell r="E1093">
            <v>8529</v>
          </cell>
          <cell r="F1093" t="str">
            <v>IZGX</v>
          </cell>
        </row>
        <row r="1094">
          <cell r="A1094">
            <v>9630</v>
          </cell>
          <cell r="E1094">
            <v>1741</v>
          </cell>
          <cell r="F1094" t="str">
            <v>VCTA</v>
          </cell>
        </row>
        <row r="1095">
          <cell r="A1095">
            <v>1852</v>
          </cell>
          <cell r="E1095">
            <v>2963</v>
          </cell>
          <cell r="F1095" t="str">
            <v>8P6N</v>
          </cell>
        </row>
        <row r="1096">
          <cell r="A1096">
            <v>3074</v>
          </cell>
          <cell r="E1096">
            <v>4185</v>
          </cell>
          <cell r="F1096" t="str">
            <v>L2J0</v>
          </cell>
        </row>
        <row r="1097">
          <cell r="A1097">
            <v>5296</v>
          </cell>
          <cell r="E1097">
            <v>6307</v>
          </cell>
          <cell r="F1097" t="str">
            <v>YFWD</v>
          </cell>
        </row>
        <row r="1098">
          <cell r="A1098">
            <v>7418</v>
          </cell>
          <cell r="E1098">
            <v>8529</v>
          </cell>
          <cell r="F1098" t="str">
            <v>BS9Q</v>
          </cell>
        </row>
        <row r="1099">
          <cell r="A1099">
            <v>9630</v>
          </cell>
          <cell r="E1099">
            <v>1741</v>
          </cell>
          <cell r="F1099" t="str">
            <v>O5M3</v>
          </cell>
        </row>
        <row r="1100">
          <cell r="A1100">
            <v>1852</v>
          </cell>
          <cell r="E1100">
            <v>2963</v>
          </cell>
          <cell r="F1100" t="str">
            <v>1IZG</v>
          </cell>
        </row>
        <row r="1101">
          <cell r="A1101">
            <v>3074</v>
          </cell>
          <cell r="E1101">
            <v>4185</v>
          </cell>
          <cell r="F1101" t="str">
            <v>EVCT</v>
          </cell>
        </row>
        <row r="1102">
          <cell r="A1102">
            <v>5296</v>
          </cell>
          <cell r="E1102">
            <v>6307</v>
          </cell>
          <cell r="F1102" t="str">
            <v>R8P6</v>
          </cell>
        </row>
        <row r="1103">
          <cell r="A1103">
            <v>741852</v>
          </cell>
          <cell r="E1103">
            <v>8529</v>
          </cell>
          <cell r="F1103" t="str">
            <v>4L2J</v>
          </cell>
        </row>
        <row r="1104">
          <cell r="A1104">
            <v>9630</v>
          </cell>
          <cell r="E1104">
            <v>1741</v>
          </cell>
          <cell r="F1104" t="str">
            <v>HYFW</v>
          </cell>
        </row>
        <row r="1105">
          <cell r="A1105">
            <v>1852</v>
          </cell>
          <cell r="E1105">
            <v>2963</v>
          </cell>
          <cell r="F1105" t="str">
            <v>UBS9</v>
          </cell>
        </row>
        <row r="1106">
          <cell r="A1106">
            <v>3074</v>
          </cell>
          <cell r="E1106">
            <v>4185</v>
          </cell>
          <cell r="F1106" t="str">
            <v>7O5M</v>
          </cell>
        </row>
        <row r="1107">
          <cell r="A1107">
            <v>5296</v>
          </cell>
          <cell r="E1107">
            <v>6307</v>
          </cell>
          <cell r="F1107" t="str">
            <v>K1IZ</v>
          </cell>
        </row>
        <row r="1108">
          <cell r="A1108">
            <v>7418</v>
          </cell>
          <cell r="E1108">
            <v>8529</v>
          </cell>
          <cell r="F1108" t="str">
            <v>XEVC</v>
          </cell>
        </row>
        <row r="1109">
          <cell r="A1109">
            <v>9630</v>
          </cell>
          <cell r="E1109">
            <v>1741</v>
          </cell>
          <cell r="F1109" t="str">
            <v>AR8P</v>
          </cell>
        </row>
        <row r="1110">
          <cell r="A1110">
            <v>1852</v>
          </cell>
          <cell r="E1110">
            <v>2963</v>
          </cell>
          <cell r="F1110" t="str">
            <v>N4L2</v>
          </cell>
        </row>
        <row r="1111">
          <cell r="A1111">
            <v>3074</v>
          </cell>
          <cell r="E1111">
            <v>4185</v>
          </cell>
          <cell r="F1111" t="str">
            <v>0HYF</v>
          </cell>
        </row>
        <row r="1112">
          <cell r="A1112">
            <v>5296</v>
          </cell>
          <cell r="E1112">
            <v>6307</v>
          </cell>
          <cell r="F1112" t="str">
            <v>DUBS</v>
          </cell>
        </row>
        <row r="1113">
          <cell r="A1113">
            <v>7418</v>
          </cell>
          <cell r="E1113">
            <v>8529</v>
          </cell>
          <cell r="F1113" t="str">
            <v>Q7O5</v>
          </cell>
        </row>
        <row r="1114">
          <cell r="A1114">
            <v>9630</v>
          </cell>
          <cell r="E1114">
            <v>1741</v>
          </cell>
          <cell r="F1114" t="str">
            <v>3K1I</v>
          </cell>
        </row>
        <row r="1115">
          <cell r="A1115">
            <v>1852</v>
          </cell>
          <cell r="E1115">
            <v>2963</v>
          </cell>
          <cell r="F1115" t="str">
            <v>GXEV</v>
          </cell>
        </row>
        <row r="1116">
          <cell r="A1116">
            <v>307418</v>
          </cell>
          <cell r="E1116">
            <v>4185</v>
          </cell>
          <cell r="F1116" t="str">
            <v>TAR8</v>
          </cell>
        </row>
        <row r="1117">
          <cell r="A1117">
            <v>529630</v>
          </cell>
          <cell r="E1117">
            <v>630</v>
          </cell>
          <cell r="F1117" t="str">
            <v>6N4L</v>
          </cell>
        </row>
        <row r="1118">
          <cell r="A1118">
            <v>7418</v>
          </cell>
          <cell r="E1118">
            <v>8529</v>
          </cell>
          <cell r="F1118" t="str">
            <v>J0HY</v>
          </cell>
        </row>
        <row r="1119">
          <cell r="A1119">
            <v>9630</v>
          </cell>
          <cell r="E1119">
            <v>1741</v>
          </cell>
          <cell r="F1119" t="str">
            <v>WDUB</v>
          </cell>
        </row>
        <row r="1120">
          <cell r="A1120">
            <v>1852</v>
          </cell>
          <cell r="E1120">
            <v>2963</v>
          </cell>
          <cell r="F1120" t="str">
            <v>9Q7O</v>
          </cell>
        </row>
        <row r="1121">
          <cell r="A1121">
            <v>3074</v>
          </cell>
          <cell r="E1121">
            <v>4185</v>
          </cell>
          <cell r="F1121" t="str">
            <v>M3K1</v>
          </cell>
        </row>
        <row r="1122">
          <cell r="A1122">
            <v>5296</v>
          </cell>
          <cell r="E1122">
            <v>6307</v>
          </cell>
          <cell r="F1122" t="str">
            <v>ZGXE</v>
          </cell>
        </row>
        <row r="1123">
          <cell r="A1123">
            <v>7418</v>
          </cell>
          <cell r="E1123">
            <v>8529</v>
          </cell>
          <cell r="F1123" t="str">
            <v>CTAR</v>
          </cell>
        </row>
        <row r="1124">
          <cell r="A1124">
            <v>9630</v>
          </cell>
          <cell r="E1124">
            <v>1741</v>
          </cell>
          <cell r="F1124" t="str">
            <v>P6N4</v>
          </cell>
        </row>
        <row r="1125">
          <cell r="A1125">
            <v>1852</v>
          </cell>
          <cell r="E1125">
            <v>2963</v>
          </cell>
          <cell r="F1125" t="str">
            <v>2J0H</v>
          </cell>
        </row>
        <row r="1126">
          <cell r="A1126">
            <v>3074</v>
          </cell>
          <cell r="E1126">
            <v>4185</v>
          </cell>
          <cell r="F1126" t="str">
            <v>FWDU</v>
          </cell>
        </row>
        <row r="1127">
          <cell r="A1127">
            <v>5296</v>
          </cell>
          <cell r="E1127">
            <v>6307</v>
          </cell>
          <cell r="F1127" t="str">
            <v>S9Q7</v>
          </cell>
        </row>
        <row r="1128">
          <cell r="A1128">
            <v>7418</v>
          </cell>
          <cell r="E1128">
            <v>8529</v>
          </cell>
          <cell r="F1128" t="str">
            <v>5M3K</v>
          </cell>
        </row>
        <row r="1129">
          <cell r="A1129">
            <v>9630</v>
          </cell>
          <cell r="E1129">
            <v>1741</v>
          </cell>
          <cell r="F1129" t="str">
            <v>IZGX</v>
          </cell>
        </row>
        <row r="1130">
          <cell r="A1130">
            <v>1852</v>
          </cell>
          <cell r="E1130">
            <v>2963</v>
          </cell>
          <cell r="F1130" t="str">
            <v>VCTA</v>
          </cell>
        </row>
        <row r="1131">
          <cell r="A1131">
            <v>3074</v>
          </cell>
          <cell r="E1131">
            <v>4185</v>
          </cell>
          <cell r="F1131" t="str">
            <v>8P6N</v>
          </cell>
        </row>
        <row r="1132">
          <cell r="A1132">
            <v>5296</v>
          </cell>
          <cell r="E1132">
            <v>6307</v>
          </cell>
          <cell r="F1132" t="str">
            <v>L2J0</v>
          </cell>
        </row>
        <row r="1133">
          <cell r="A1133">
            <v>7418</v>
          </cell>
          <cell r="E1133">
            <v>8529</v>
          </cell>
          <cell r="F1133" t="str">
            <v>YFWD</v>
          </cell>
        </row>
        <row r="1134">
          <cell r="A1134">
            <v>9630</v>
          </cell>
          <cell r="E1134">
            <v>1741</v>
          </cell>
          <cell r="F1134" t="str">
            <v>BS9Q</v>
          </cell>
        </row>
        <row r="1135">
          <cell r="A1135">
            <v>1852</v>
          </cell>
          <cell r="E1135">
            <v>2963</v>
          </cell>
          <cell r="F1135" t="str">
            <v>O5M3</v>
          </cell>
        </row>
        <row r="1136">
          <cell r="A1136">
            <v>3074</v>
          </cell>
          <cell r="E1136">
            <v>4185</v>
          </cell>
          <cell r="F1136" t="str">
            <v>1IZG</v>
          </cell>
        </row>
        <row r="1137">
          <cell r="A1137">
            <v>5296</v>
          </cell>
          <cell r="E1137">
            <v>6307</v>
          </cell>
          <cell r="F1137" t="str">
            <v>EVCT</v>
          </cell>
        </row>
        <row r="1138">
          <cell r="A1138">
            <v>7418</v>
          </cell>
          <cell r="E1138">
            <v>8529</v>
          </cell>
          <cell r="F1138" t="str">
            <v>R8P6</v>
          </cell>
        </row>
        <row r="1139">
          <cell r="A1139">
            <v>9630</v>
          </cell>
          <cell r="E1139">
            <v>1741</v>
          </cell>
          <cell r="F1139" t="str">
            <v>4L2J</v>
          </cell>
        </row>
        <row r="1140">
          <cell r="A1140">
            <v>1852</v>
          </cell>
          <cell r="E1140">
            <v>2963</v>
          </cell>
          <cell r="F1140" t="str">
            <v>HYFW</v>
          </cell>
        </row>
        <row r="1141">
          <cell r="A1141">
            <v>3074</v>
          </cell>
          <cell r="E1141">
            <v>4185</v>
          </cell>
          <cell r="F1141" t="str">
            <v>UBS9</v>
          </cell>
        </row>
        <row r="1142">
          <cell r="A1142">
            <v>5296</v>
          </cell>
          <cell r="E1142">
            <v>6307</v>
          </cell>
          <cell r="F1142" t="str">
            <v>7O5M</v>
          </cell>
        </row>
        <row r="1143">
          <cell r="A1143">
            <v>7418</v>
          </cell>
          <cell r="E1143">
            <v>8529</v>
          </cell>
          <cell r="F1143" t="str">
            <v>K1IZ</v>
          </cell>
        </row>
        <row r="1144">
          <cell r="A1144">
            <v>9630</v>
          </cell>
          <cell r="E1144">
            <v>1741</v>
          </cell>
          <cell r="F1144" t="str">
            <v>XEVC</v>
          </cell>
        </row>
        <row r="1145">
          <cell r="A1145">
            <v>1852</v>
          </cell>
          <cell r="E1145">
            <v>2963</v>
          </cell>
          <cell r="F1145" t="str">
            <v>AR8P</v>
          </cell>
        </row>
        <row r="1146">
          <cell r="A1146">
            <v>3074</v>
          </cell>
          <cell r="E1146">
            <v>4185</v>
          </cell>
          <cell r="F1146" t="str">
            <v>N4L2</v>
          </cell>
        </row>
        <row r="1147">
          <cell r="A1147">
            <v>5296</v>
          </cell>
          <cell r="E1147">
            <v>6307</v>
          </cell>
          <cell r="F1147" t="str">
            <v>0HYF</v>
          </cell>
        </row>
        <row r="1148">
          <cell r="A1148">
            <v>7418</v>
          </cell>
          <cell r="E1148">
            <v>8529</v>
          </cell>
          <cell r="F1148" t="str">
            <v>DUBS</v>
          </cell>
        </row>
        <row r="1149">
          <cell r="A1149">
            <v>9630</v>
          </cell>
          <cell r="E1149">
            <v>1741</v>
          </cell>
          <cell r="F1149" t="str">
            <v>Q7O5</v>
          </cell>
        </row>
        <row r="1150">
          <cell r="A1150">
            <v>1852</v>
          </cell>
          <cell r="E1150">
            <v>2963</v>
          </cell>
          <cell r="F1150" t="str">
            <v>3K1I</v>
          </cell>
        </row>
        <row r="1151">
          <cell r="A1151">
            <v>3074</v>
          </cell>
          <cell r="E1151">
            <v>4185</v>
          </cell>
          <cell r="F1151" t="str">
            <v>GXEV</v>
          </cell>
        </row>
        <row r="1152">
          <cell r="A1152">
            <v>5296</v>
          </cell>
          <cell r="E1152">
            <v>6307</v>
          </cell>
          <cell r="F1152" t="str">
            <v>TAR8</v>
          </cell>
        </row>
        <row r="1153">
          <cell r="A1153">
            <v>7418</v>
          </cell>
          <cell r="E1153">
            <v>8529</v>
          </cell>
          <cell r="F1153" t="str">
            <v>6N4L</v>
          </cell>
        </row>
        <row r="1154">
          <cell r="A1154">
            <v>9630</v>
          </cell>
          <cell r="E1154">
            <v>1741</v>
          </cell>
          <cell r="F1154" t="str">
            <v>J0HY</v>
          </cell>
        </row>
        <row r="1155">
          <cell r="A1155">
            <v>1852</v>
          </cell>
          <cell r="E1155">
            <v>2963</v>
          </cell>
          <cell r="F1155" t="str">
            <v>WDUB</v>
          </cell>
        </row>
        <row r="1156">
          <cell r="A1156">
            <v>3074</v>
          </cell>
          <cell r="E1156">
            <v>4185</v>
          </cell>
          <cell r="F1156" t="str">
            <v>9Q7O</v>
          </cell>
        </row>
        <row r="1157">
          <cell r="A1157">
            <v>5296</v>
          </cell>
          <cell r="E1157">
            <v>6307</v>
          </cell>
          <cell r="F1157" t="str">
            <v>M3K1</v>
          </cell>
        </row>
        <row r="1158">
          <cell r="A1158">
            <v>7418</v>
          </cell>
          <cell r="E1158">
            <v>8529</v>
          </cell>
          <cell r="F1158" t="str">
            <v>ZGXE</v>
          </cell>
        </row>
        <row r="1159">
          <cell r="A1159">
            <v>9630</v>
          </cell>
          <cell r="E1159">
            <v>1741</v>
          </cell>
          <cell r="F1159" t="str">
            <v>CTAR</v>
          </cell>
        </row>
        <row r="1160">
          <cell r="A1160">
            <v>185296</v>
          </cell>
          <cell r="E1160">
            <v>296</v>
          </cell>
          <cell r="F1160" t="str">
            <v>P6N4</v>
          </cell>
        </row>
        <row r="1161">
          <cell r="A1161">
            <v>3074</v>
          </cell>
          <cell r="E1161">
            <v>4185</v>
          </cell>
          <cell r="F1161" t="str">
            <v>2J0H</v>
          </cell>
        </row>
        <row r="1162">
          <cell r="A1162">
            <v>5296</v>
          </cell>
          <cell r="E1162">
            <v>6307</v>
          </cell>
          <cell r="F1162" t="str">
            <v>FWDU</v>
          </cell>
        </row>
        <row r="1163">
          <cell r="A1163">
            <v>7418</v>
          </cell>
          <cell r="E1163">
            <v>8529</v>
          </cell>
          <cell r="F1163" t="str">
            <v>S9Q7</v>
          </cell>
        </row>
        <row r="1164">
          <cell r="A1164">
            <v>9630</v>
          </cell>
          <cell r="E1164">
            <v>1741</v>
          </cell>
          <cell r="F1164" t="str">
            <v>5M3K</v>
          </cell>
        </row>
        <row r="1165">
          <cell r="A1165">
            <v>1852</v>
          </cell>
          <cell r="E1165">
            <v>2963</v>
          </cell>
          <cell r="F1165" t="str">
            <v>IZGX</v>
          </cell>
        </row>
        <row r="1166">
          <cell r="A1166">
            <v>3074</v>
          </cell>
          <cell r="E1166">
            <v>4185</v>
          </cell>
          <cell r="F1166" t="str">
            <v>VCTA</v>
          </cell>
        </row>
        <row r="1167">
          <cell r="A1167">
            <v>5296</v>
          </cell>
          <cell r="E1167">
            <v>6307</v>
          </cell>
          <cell r="F1167" t="str">
            <v>8P6N</v>
          </cell>
        </row>
        <row r="1168">
          <cell r="A1168">
            <v>7418</v>
          </cell>
          <cell r="E1168">
            <v>8529</v>
          </cell>
          <cell r="F1168" t="str">
            <v>L2J0</v>
          </cell>
        </row>
        <row r="1169">
          <cell r="A1169">
            <v>9630</v>
          </cell>
          <cell r="E1169">
            <v>1741</v>
          </cell>
          <cell r="F1169" t="str">
            <v>YFWD</v>
          </cell>
        </row>
        <row r="1170">
          <cell r="A1170">
            <v>1852</v>
          </cell>
          <cell r="E1170">
            <v>2963</v>
          </cell>
          <cell r="F1170" t="str">
            <v>BS9Q</v>
          </cell>
        </row>
        <row r="1171">
          <cell r="A1171">
            <v>3074</v>
          </cell>
          <cell r="E1171">
            <v>4185</v>
          </cell>
          <cell r="F1171" t="str">
            <v>O5M3</v>
          </cell>
        </row>
        <row r="1172">
          <cell r="A1172">
            <v>5296</v>
          </cell>
          <cell r="E1172">
            <v>6307</v>
          </cell>
          <cell r="F1172" t="str">
            <v>1IZG</v>
          </cell>
        </row>
        <row r="1173">
          <cell r="A1173">
            <v>7418</v>
          </cell>
          <cell r="E1173">
            <v>8529</v>
          </cell>
          <cell r="F1173" t="str">
            <v>EVCT</v>
          </cell>
        </row>
        <row r="1174">
          <cell r="A1174">
            <v>9630</v>
          </cell>
          <cell r="E1174">
            <v>1741</v>
          </cell>
          <cell r="F1174" t="str">
            <v>R8P6</v>
          </cell>
        </row>
        <row r="1175">
          <cell r="A1175">
            <v>1852</v>
          </cell>
          <cell r="E1175">
            <v>2963</v>
          </cell>
          <cell r="F1175" t="str">
            <v>4L2J</v>
          </cell>
        </row>
        <row r="1176">
          <cell r="A1176">
            <v>3074</v>
          </cell>
          <cell r="E1176">
            <v>4185</v>
          </cell>
          <cell r="F1176" t="str">
            <v>HYFW</v>
          </cell>
        </row>
        <row r="1177">
          <cell r="A1177">
            <v>5296</v>
          </cell>
          <cell r="E1177">
            <v>6307</v>
          </cell>
          <cell r="F1177" t="str">
            <v>UBS9</v>
          </cell>
        </row>
        <row r="1178">
          <cell r="A1178">
            <v>7418</v>
          </cell>
          <cell r="E1178">
            <v>8529</v>
          </cell>
          <cell r="F1178" t="str">
            <v>7O5M</v>
          </cell>
        </row>
        <row r="1179">
          <cell r="A1179">
            <v>9630</v>
          </cell>
          <cell r="E1179">
            <v>1741</v>
          </cell>
          <cell r="F1179" t="str">
            <v>K1IZ</v>
          </cell>
        </row>
        <row r="1180">
          <cell r="A1180">
            <v>1852</v>
          </cell>
          <cell r="E1180">
            <v>2963</v>
          </cell>
          <cell r="F1180" t="str">
            <v>XEVC</v>
          </cell>
        </row>
        <row r="1181">
          <cell r="A1181">
            <v>3074</v>
          </cell>
          <cell r="E1181">
            <v>4185</v>
          </cell>
          <cell r="F1181" t="str">
            <v>AR8P</v>
          </cell>
        </row>
        <row r="1182">
          <cell r="A1182">
            <v>5296</v>
          </cell>
          <cell r="E1182">
            <v>6307</v>
          </cell>
          <cell r="F1182" t="str">
            <v>N4L2</v>
          </cell>
        </row>
        <row r="1183">
          <cell r="A1183">
            <v>7418</v>
          </cell>
          <cell r="E1183">
            <v>8529</v>
          </cell>
          <cell r="F1183" t="str">
            <v>0HYF</v>
          </cell>
        </row>
        <row r="1184">
          <cell r="A1184">
            <v>9630</v>
          </cell>
          <cell r="E1184">
            <v>1741</v>
          </cell>
          <cell r="F1184" t="str">
            <v>DUBS</v>
          </cell>
        </row>
        <row r="1185">
          <cell r="A1185">
            <v>1852</v>
          </cell>
          <cell r="E1185">
            <v>2963</v>
          </cell>
          <cell r="F1185" t="str">
            <v>Q7O5</v>
          </cell>
        </row>
        <row r="1186">
          <cell r="A1186">
            <v>3074</v>
          </cell>
          <cell r="E1186">
            <v>4185</v>
          </cell>
          <cell r="F1186" t="str">
            <v>3K1I</v>
          </cell>
        </row>
        <row r="1187">
          <cell r="A1187">
            <v>5296</v>
          </cell>
          <cell r="E1187">
            <v>6307</v>
          </cell>
          <cell r="F1187" t="str">
            <v>GXEV</v>
          </cell>
        </row>
        <row r="1188">
          <cell r="A1188">
            <v>7418</v>
          </cell>
          <cell r="E1188">
            <v>8529</v>
          </cell>
          <cell r="F1188" t="str">
            <v>TAR8</v>
          </cell>
        </row>
        <row r="1189">
          <cell r="A1189">
            <v>9630</v>
          </cell>
          <cell r="E1189">
            <v>1741</v>
          </cell>
          <cell r="F1189" t="str">
            <v>6N4L</v>
          </cell>
        </row>
        <row r="1190">
          <cell r="A1190">
            <v>1852</v>
          </cell>
          <cell r="E1190">
            <v>2963</v>
          </cell>
          <cell r="F1190" t="str">
            <v>J0HY</v>
          </cell>
        </row>
        <row r="1191">
          <cell r="A1191">
            <v>3074</v>
          </cell>
          <cell r="E1191">
            <v>4185</v>
          </cell>
          <cell r="F1191" t="str">
            <v>WDUB</v>
          </cell>
        </row>
        <row r="1192">
          <cell r="A1192">
            <v>5296</v>
          </cell>
          <cell r="E1192">
            <v>6307</v>
          </cell>
          <cell r="F1192" t="str">
            <v>9Q7O</v>
          </cell>
        </row>
        <row r="1193">
          <cell r="A1193">
            <v>7418</v>
          </cell>
          <cell r="E1193">
            <v>8529</v>
          </cell>
          <cell r="F1193" t="str">
            <v>M3K1</v>
          </cell>
        </row>
        <row r="1194">
          <cell r="A1194">
            <v>9630</v>
          </cell>
          <cell r="E1194">
            <v>1741</v>
          </cell>
          <cell r="F1194" t="str">
            <v>ZGXE</v>
          </cell>
        </row>
        <row r="1195">
          <cell r="A1195">
            <v>1852</v>
          </cell>
          <cell r="E1195">
            <v>2963</v>
          </cell>
          <cell r="F1195" t="str">
            <v>CTAR</v>
          </cell>
        </row>
        <row r="1196">
          <cell r="A1196">
            <v>3074</v>
          </cell>
          <cell r="E1196">
            <v>4185</v>
          </cell>
          <cell r="F1196" t="str">
            <v>P6N4</v>
          </cell>
        </row>
        <row r="1197">
          <cell r="A1197">
            <v>5296</v>
          </cell>
          <cell r="E1197">
            <v>6307</v>
          </cell>
          <cell r="F1197" t="str">
            <v>2J0H</v>
          </cell>
        </row>
        <row r="1198">
          <cell r="A1198">
            <v>7418</v>
          </cell>
          <cell r="E1198">
            <v>8529</v>
          </cell>
          <cell r="F1198" t="str">
            <v>FWDU</v>
          </cell>
        </row>
        <row r="1199">
          <cell r="A1199">
            <v>9630</v>
          </cell>
          <cell r="E1199">
            <v>1741</v>
          </cell>
          <cell r="F1199" t="str">
            <v>S9Q7</v>
          </cell>
        </row>
        <row r="1200">
          <cell r="A1200">
            <v>1852</v>
          </cell>
          <cell r="E1200">
            <v>2963</v>
          </cell>
          <cell r="F1200" t="str">
            <v>5M3K</v>
          </cell>
        </row>
        <row r="1201">
          <cell r="A1201">
            <v>3074</v>
          </cell>
          <cell r="E1201">
            <v>4185</v>
          </cell>
          <cell r="F1201" t="str">
            <v>IZGX</v>
          </cell>
        </row>
        <row r="1202">
          <cell r="A1202">
            <v>529630</v>
          </cell>
          <cell r="E1202">
            <v>6307</v>
          </cell>
          <cell r="F1202" t="str">
            <v>VCTA</v>
          </cell>
        </row>
        <row r="1203">
          <cell r="A1203">
            <v>7418</v>
          </cell>
          <cell r="E1203">
            <v>8529</v>
          </cell>
          <cell r="F1203" t="str">
            <v>8P6N</v>
          </cell>
        </row>
        <row r="1204">
          <cell r="A1204">
            <v>9630</v>
          </cell>
          <cell r="E1204">
            <v>1741</v>
          </cell>
          <cell r="F1204" t="str">
            <v>L2J0</v>
          </cell>
        </row>
        <row r="1205">
          <cell r="A1205">
            <v>1852</v>
          </cell>
          <cell r="E1205">
            <v>2963</v>
          </cell>
          <cell r="F1205" t="str">
            <v>YFWD</v>
          </cell>
        </row>
        <row r="1206">
          <cell r="A1206">
            <v>3074</v>
          </cell>
          <cell r="E1206">
            <v>4185</v>
          </cell>
          <cell r="F1206" t="str">
            <v>BS9Q</v>
          </cell>
        </row>
        <row r="1207">
          <cell r="A1207">
            <v>5296</v>
          </cell>
          <cell r="E1207">
            <v>6307</v>
          </cell>
          <cell r="F1207" t="str">
            <v>O5M3</v>
          </cell>
        </row>
        <row r="1208">
          <cell r="A1208">
            <v>7418</v>
          </cell>
          <cell r="E1208">
            <v>8529</v>
          </cell>
          <cell r="F1208" t="str">
            <v>1IZG</v>
          </cell>
        </row>
        <row r="1209">
          <cell r="A1209">
            <v>9630</v>
          </cell>
          <cell r="E1209">
            <v>1741</v>
          </cell>
          <cell r="F1209" t="str">
            <v>EVCT</v>
          </cell>
        </row>
        <row r="1210">
          <cell r="A1210">
            <v>1852</v>
          </cell>
          <cell r="E1210">
            <v>2963</v>
          </cell>
          <cell r="F1210" t="str">
            <v>R8P6</v>
          </cell>
        </row>
        <row r="1211">
          <cell r="A1211">
            <v>3074</v>
          </cell>
          <cell r="E1211">
            <v>4185</v>
          </cell>
          <cell r="F1211" t="str">
            <v>4L2J</v>
          </cell>
        </row>
        <row r="1212">
          <cell r="A1212">
            <v>5296</v>
          </cell>
          <cell r="E1212">
            <v>6307</v>
          </cell>
          <cell r="F1212" t="str">
            <v>HYFW</v>
          </cell>
        </row>
        <row r="1213">
          <cell r="A1213">
            <v>7418</v>
          </cell>
          <cell r="E1213">
            <v>8529</v>
          </cell>
          <cell r="F1213" t="str">
            <v>UBS9</v>
          </cell>
        </row>
        <row r="1214">
          <cell r="A1214">
            <v>9630</v>
          </cell>
          <cell r="E1214">
            <v>1741</v>
          </cell>
          <cell r="F1214" t="str">
            <v>7O5M</v>
          </cell>
        </row>
        <row r="1215">
          <cell r="A1215">
            <v>185296</v>
          </cell>
          <cell r="E1215">
            <v>2963</v>
          </cell>
          <cell r="F1215" t="str">
            <v>K1IZ</v>
          </cell>
        </row>
        <row r="1216">
          <cell r="A1216">
            <v>307418</v>
          </cell>
          <cell r="E1216">
            <v>418</v>
          </cell>
          <cell r="F1216" t="str">
            <v>XEVC</v>
          </cell>
        </row>
        <row r="1217">
          <cell r="A1217">
            <v>5296</v>
          </cell>
          <cell r="E1217">
            <v>6307</v>
          </cell>
          <cell r="F1217" t="str">
            <v>AR8P</v>
          </cell>
        </row>
        <row r="1218">
          <cell r="A1218">
            <v>7418</v>
          </cell>
          <cell r="E1218">
            <v>8529</v>
          </cell>
          <cell r="F1218" t="str">
            <v>N4L2</v>
          </cell>
        </row>
        <row r="1219">
          <cell r="A1219">
            <v>9630</v>
          </cell>
          <cell r="E1219">
            <v>1741</v>
          </cell>
          <cell r="F1219" t="str">
            <v>0HYF</v>
          </cell>
        </row>
        <row r="1220">
          <cell r="A1220">
            <v>1852</v>
          </cell>
          <cell r="E1220">
            <v>2963</v>
          </cell>
          <cell r="F1220" t="str">
            <v>DUBS</v>
          </cell>
        </row>
        <row r="1221">
          <cell r="A1221">
            <v>3074</v>
          </cell>
          <cell r="E1221">
            <v>4185</v>
          </cell>
          <cell r="F1221" t="str">
            <v>Q7O5</v>
          </cell>
        </row>
        <row r="1222">
          <cell r="A1222">
            <v>5296</v>
          </cell>
          <cell r="E1222">
            <v>6307</v>
          </cell>
          <cell r="F1222" t="str">
            <v>3K1I</v>
          </cell>
        </row>
        <row r="1223">
          <cell r="A1223">
            <v>7418</v>
          </cell>
          <cell r="E1223">
            <v>8529</v>
          </cell>
          <cell r="F1223" t="str">
            <v>GXEV</v>
          </cell>
        </row>
        <row r="1224">
          <cell r="A1224">
            <v>9630</v>
          </cell>
          <cell r="E1224">
            <v>1741</v>
          </cell>
          <cell r="F1224" t="str">
            <v>TAR8</v>
          </cell>
        </row>
        <row r="1225">
          <cell r="A1225">
            <v>1852</v>
          </cell>
          <cell r="E1225">
            <v>2963</v>
          </cell>
          <cell r="F1225" t="str">
            <v>6N4L</v>
          </cell>
        </row>
        <row r="1226">
          <cell r="A1226">
            <v>3074</v>
          </cell>
          <cell r="E1226">
            <v>4185</v>
          </cell>
          <cell r="F1226" t="str">
            <v>J0HY</v>
          </cell>
        </row>
        <row r="1227">
          <cell r="A1227">
            <v>5296</v>
          </cell>
          <cell r="E1227">
            <v>6307</v>
          </cell>
          <cell r="F1227" t="str">
            <v>WDUB</v>
          </cell>
        </row>
        <row r="1228">
          <cell r="A1228">
            <v>7418</v>
          </cell>
          <cell r="E1228">
            <v>8529</v>
          </cell>
          <cell r="F1228" t="str">
            <v>9Q7O</v>
          </cell>
        </row>
        <row r="1229">
          <cell r="A1229">
            <v>9630</v>
          </cell>
          <cell r="E1229">
            <v>1741</v>
          </cell>
          <cell r="F1229" t="str">
            <v>M3K1</v>
          </cell>
        </row>
        <row r="1230">
          <cell r="A1230">
            <v>1852</v>
          </cell>
          <cell r="E1230">
            <v>2963</v>
          </cell>
          <cell r="F1230" t="str">
            <v>ZGXE</v>
          </cell>
        </row>
        <row r="1231">
          <cell r="A1231">
            <v>3074</v>
          </cell>
          <cell r="E1231">
            <v>4185</v>
          </cell>
          <cell r="F1231" t="str">
            <v>CTAR</v>
          </cell>
        </row>
        <row r="1232">
          <cell r="A1232">
            <v>5296</v>
          </cell>
          <cell r="E1232">
            <v>6307</v>
          </cell>
          <cell r="F1232" t="str">
            <v>P6N4</v>
          </cell>
        </row>
        <row r="1233">
          <cell r="A1233">
            <v>7418</v>
          </cell>
          <cell r="E1233">
            <v>8529</v>
          </cell>
          <cell r="F1233" t="str">
            <v>2J0H</v>
          </cell>
        </row>
        <row r="1234">
          <cell r="A1234">
            <v>9630</v>
          </cell>
          <cell r="E1234">
            <v>1741</v>
          </cell>
          <cell r="F1234" t="str">
            <v>FWDU</v>
          </cell>
        </row>
        <row r="1235">
          <cell r="A1235">
            <v>1852</v>
          </cell>
          <cell r="E1235">
            <v>2963</v>
          </cell>
          <cell r="F1235" t="str">
            <v>S9Q7</v>
          </cell>
        </row>
        <row r="1236">
          <cell r="A1236">
            <v>3074</v>
          </cell>
          <cell r="E1236">
            <v>4185</v>
          </cell>
          <cell r="F1236" t="str">
            <v>5M3K</v>
          </cell>
        </row>
        <row r="1237">
          <cell r="A1237">
            <v>5296</v>
          </cell>
          <cell r="E1237">
            <v>6307</v>
          </cell>
          <cell r="F1237" t="str">
            <v>IZGX</v>
          </cell>
        </row>
        <row r="1238">
          <cell r="A1238">
            <v>7418</v>
          </cell>
          <cell r="E1238">
            <v>8529</v>
          </cell>
          <cell r="F1238" t="str">
            <v>VCTA</v>
          </cell>
        </row>
        <row r="1239">
          <cell r="A1239">
            <v>9630</v>
          </cell>
          <cell r="E1239">
            <v>1741</v>
          </cell>
          <cell r="F1239" t="str">
            <v>8P6N</v>
          </cell>
        </row>
        <row r="1240">
          <cell r="A1240">
            <v>1852</v>
          </cell>
          <cell r="E1240">
            <v>2963</v>
          </cell>
          <cell r="F1240" t="str">
            <v>L2J0</v>
          </cell>
        </row>
        <row r="1241">
          <cell r="A1241">
            <v>3074</v>
          </cell>
          <cell r="E1241">
            <v>4185</v>
          </cell>
          <cell r="F1241" t="str">
            <v>YFWD</v>
          </cell>
        </row>
        <row r="1242">
          <cell r="A1242">
            <v>5296</v>
          </cell>
          <cell r="E1242">
            <v>6307</v>
          </cell>
          <cell r="F1242" t="str">
            <v>BS9Q</v>
          </cell>
        </row>
        <row r="1243">
          <cell r="A1243">
            <v>7418</v>
          </cell>
          <cell r="E1243">
            <v>8529</v>
          </cell>
          <cell r="F1243" t="str">
            <v>O5M3</v>
          </cell>
        </row>
        <row r="1244">
          <cell r="A1244">
            <v>9630</v>
          </cell>
          <cell r="E1244">
            <v>1741</v>
          </cell>
          <cell r="F1244" t="str">
            <v>1IZG</v>
          </cell>
        </row>
        <row r="1245">
          <cell r="A1245">
            <v>1852</v>
          </cell>
          <cell r="E1245">
            <v>2963</v>
          </cell>
          <cell r="F1245" t="str">
            <v>EVCT</v>
          </cell>
        </row>
        <row r="1246">
          <cell r="A1246">
            <v>3074</v>
          </cell>
          <cell r="E1246">
            <v>4185</v>
          </cell>
          <cell r="F1246" t="str">
            <v>R8P6</v>
          </cell>
        </row>
        <row r="1247">
          <cell r="A1247">
            <v>5296</v>
          </cell>
          <cell r="E1247">
            <v>6307</v>
          </cell>
          <cell r="F1247" t="str">
            <v>4L2J</v>
          </cell>
        </row>
        <row r="1248">
          <cell r="A1248">
            <v>7418</v>
          </cell>
          <cell r="E1248">
            <v>8529</v>
          </cell>
          <cell r="F1248" t="str">
            <v>HYFW</v>
          </cell>
        </row>
        <row r="1249">
          <cell r="A1249">
            <v>9630</v>
          </cell>
          <cell r="E1249">
            <v>1741</v>
          </cell>
          <cell r="F1249" t="str">
            <v>UBS9</v>
          </cell>
        </row>
        <row r="1250">
          <cell r="A1250">
            <v>1852</v>
          </cell>
          <cell r="E1250">
            <v>2963</v>
          </cell>
          <cell r="F1250" t="str">
            <v>7O5M</v>
          </cell>
        </row>
        <row r="1251">
          <cell r="A1251">
            <v>3074</v>
          </cell>
          <cell r="E1251">
            <v>4185</v>
          </cell>
          <cell r="F1251" t="str">
            <v>K1IZ</v>
          </cell>
        </row>
        <row r="1252">
          <cell r="A1252">
            <v>5296</v>
          </cell>
          <cell r="E1252">
            <v>6307</v>
          </cell>
          <cell r="F1252" t="str">
            <v>XEVC</v>
          </cell>
        </row>
        <row r="1253">
          <cell r="A1253">
            <v>7418</v>
          </cell>
          <cell r="E1253">
            <v>8529</v>
          </cell>
          <cell r="F1253" t="str">
            <v>AR8P</v>
          </cell>
        </row>
        <row r="1254">
          <cell r="A1254">
            <v>9630</v>
          </cell>
          <cell r="E1254">
            <v>1741</v>
          </cell>
          <cell r="F1254" t="str">
            <v>N4L2</v>
          </cell>
        </row>
        <row r="1255">
          <cell r="A1255">
            <v>1852</v>
          </cell>
          <cell r="E1255">
            <v>2963</v>
          </cell>
          <cell r="F1255" t="str">
            <v>0HYF</v>
          </cell>
        </row>
        <row r="1256">
          <cell r="A1256">
            <v>3074</v>
          </cell>
          <cell r="E1256">
            <v>4185</v>
          </cell>
          <cell r="F1256" t="str">
            <v>DUBS</v>
          </cell>
        </row>
        <row r="1257">
          <cell r="A1257">
            <v>5296</v>
          </cell>
          <cell r="E1257">
            <v>6307</v>
          </cell>
          <cell r="F1257" t="str">
            <v>Q7O5</v>
          </cell>
        </row>
        <row r="1258">
          <cell r="A1258">
            <v>7418</v>
          </cell>
          <cell r="E1258">
            <v>8529</v>
          </cell>
          <cell r="F1258" t="str">
            <v>3K1I</v>
          </cell>
        </row>
        <row r="1259">
          <cell r="A1259">
            <v>963074</v>
          </cell>
          <cell r="E1259">
            <v>174</v>
          </cell>
          <cell r="F1259" t="str">
            <v>GXEV</v>
          </cell>
        </row>
        <row r="1260">
          <cell r="A1260">
            <v>1852</v>
          </cell>
          <cell r="E1260">
            <v>2963</v>
          </cell>
          <cell r="F1260" t="str">
            <v>TAR8</v>
          </cell>
        </row>
        <row r="1261">
          <cell r="A1261">
            <v>3074</v>
          </cell>
          <cell r="E1261">
            <v>4185</v>
          </cell>
          <cell r="F1261" t="str">
            <v>6N4L</v>
          </cell>
        </row>
        <row r="1262">
          <cell r="A1262">
            <v>5296</v>
          </cell>
          <cell r="E1262">
            <v>6307</v>
          </cell>
          <cell r="F1262" t="str">
            <v>J0HY</v>
          </cell>
        </row>
        <row r="1263">
          <cell r="A1263">
            <v>7418</v>
          </cell>
          <cell r="E1263">
            <v>8529</v>
          </cell>
          <cell r="F1263" t="str">
            <v>WDUB</v>
          </cell>
        </row>
        <row r="1264">
          <cell r="A1264">
            <v>9630</v>
          </cell>
          <cell r="E1264">
            <v>1741</v>
          </cell>
          <cell r="F1264" t="str">
            <v>9Q7O</v>
          </cell>
        </row>
        <row r="1265">
          <cell r="A1265">
            <v>1852</v>
          </cell>
          <cell r="E1265">
            <v>2963</v>
          </cell>
          <cell r="F1265" t="str">
            <v>M3K1</v>
          </cell>
        </row>
        <row r="1266">
          <cell r="A1266">
            <v>3074</v>
          </cell>
          <cell r="E1266">
            <v>4185</v>
          </cell>
          <cell r="F1266" t="str">
            <v>ZGXE</v>
          </cell>
        </row>
        <row r="1267">
          <cell r="A1267">
            <v>5296</v>
          </cell>
          <cell r="E1267">
            <v>6307</v>
          </cell>
          <cell r="F1267" t="str">
            <v>CTAR</v>
          </cell>
        </row>
        <row r="1268">
          <cell r="A1268">
            <v>7418</v>
          </cell>
          <cell r="E1268">
            <v>8529</v>
          </cell>
          <cell r="F1268" t="str">
            <v>P6N4</v>
          </cell>
        </row>
        <row r="1269">
          <cell r="A1269">
            <v>9630</v>
          </cell>
          <cell r="E1269">
            <v>1741</v>
          </cell>
          <cell r="F1269" t="str">
            <v>2J0H</v>
          </cell>
        </row>
        <row r="1270">
          <cell r="A1270">
            <v>1852</v>
          </cell>
          <cell r="E1270">
            <v>2963</v>
          </cell>
          <cell r="F1270" t="str">
            <v>FWDU</v>
          </cell>
        </row>
        <row r="1271">
          <cell r="A1271">
            <v>3074</v>
          </cell>
          <cell r="E1271">
            <v>4185</v>
          </cell>
          <cell r="F1271" t="str">
            <v>S9Q7</v>
          </cell>
        </row>
        <row r="1272">
          <cell r="A1272">
            <v>5296</v>
          </cell>
          <cell r="E1272">
            <v>6307</v>
          </cell>
          <cell r="F1272" t="str">
            <v>5M3K</v>
          </cell>
        </row>
        <row r="1273">
          <cell r="A1273">
            <v>7418</v>
          </cell>
          <cell r="E1273">
            <v>8529</v>
          </cell>
          <cell r="F1273" t="str">
            <v>IZGX</v>
          </cell>
        </row>
        <row r="1274">
          <cell r="A1274">
            <v>9630</v>
          </cell>
          <cell r="E1274">
            <v>1741</v>
          </cell>
          <cell r="F1274" t="str">
            <v>VCTA</v>
          </cell>
        </row>
        <row r="1275">
          <cell r="A1275">
            <v>1852</v>
          </cell>
          <cell r="E1275">
            <v>2963</v>
          </cell>
          <cell r="F1275" t="str">
            <v>8P6N</v>
          </cell>
        </row>
        <row r="1276">
          <cell r="A1276">
            <v>3074</v>
          </cell>
          <cell r="E1276">
            <v>4185</v>
          </cell>
          <cell r="F1276" t="str">
            <v>L2J0</v>
          </cell>
        </row>
        <row r="1277">
          <cell r="A1277">
            <v>5296</v>
          </cell>
          <cell r="E1277">
            <v>6307</v>
          </cell>
          <cell r="F1277" t="str">
            <v>YFWD</v>
          </cell>
        </row>
        <row r="1278">
          <cell r="A1278">
            <v>7418</v>
          </cell>
          <cell r="E1278">
            <v>8529</v>
          </cell>
          <cell r="F1278" t="str">
            <v>BS9Q</v>
          </cell>
        </row>
        <row r="1279">
          <cell r="A1279">
            <v>9630</v>
          </cell>
          <cell r="E1279">
            <v>1741</v>
          </cell>
          <cell r="F1279" t="str">
            <v>O5M3</v>
          </cell>
        </row>
        <row r="1280">
          <cell r="A1280">
            <v>1852</v>
          </cell>
          <cell r="E1280">
            <v>2963</v>
          </cell>
          <cell r="F1280" t="str">
            <v>1IZG</v>
          </cell>
        </row>
        <row r="1281">
          <cell r="A1281">
            <v>3074</v>
          </cell>
          <cell r="E1281">
            <v>4185</v>
          </cell>
          <cell r="F1281" t="str">
            <v>EVCT</v>
          </cell>
        </row>
        <row r="1282">
          <cell r="A1282">
            <v>5296</v>
          </cell>
          <cell r="E1282">
            <v>6307</v>
          </cell>
          <cell r="F1282" t="str">
            <v>R8P6</v>
          </cell>
        </row>
        <row r="1283">
          <cell r="A1283">
            <v>7418</v>
          </cell>
          <cell r="E1283">
            <v>8529</v>
          </cell>
          <cell r="F1283" t="str">
            <v>4L2J</v>
          </cell>
        </row>
        <row r="1284">
          <cell r="A1284">
            <v>9630</v>
          </cell>
          <cell r="E1284">
            <v>1741</v>
          </cell>
          <cell r="F1284" t="str">
            <v>HYFW</v>
          </cell>
        </row>
        <row r="1285">
          <cell r="A1285">
            <v>1852</v>
          </cell>
          <cell r="E1285">
            <v>2963</v>
          </cell>
          <cell r="F1285" t="str">
            <v>UBS9</v>
          </cell>
        </row>
        <row r="1286">
          <cell r="A1286">
            <v>3074</v>
          </cell>
          <cell r="E1286">
            <v>4185</v>
          </cell>
          <cell r="F1286" t="str">
            <v>7O5M</v>
          </cell>
        </row>
        <row r="1287">
          <cell r="A1287">
            <v>5296</v>
          </cell>
          <cell r="E1287">
            <v>6307</v>
          </cell>
          <cell r="F1287" t="str">
            <v>K1IZ</v>
          </cell>
        </row>
        <row r="1288">
          <cell r="A1288">
            <v>7418</v>
          </cell>
          <cell r="E1288">
            <v>8529</v>
          </cell>
          <cell r="F1288" t="str">
            <v>XEVC</v>
          </cell>
        </row>
        <row r="1289">
          <cell r="A1289">
            <v>9630</v>
          </cell>
          <cell r="E1289">
            <v>1741</v>
          </cell>
          <cell r="F1289" t="str">
            <v>AR8P</v>
          </cell>
        </row>
        <row r="1290">
          <cell r="A1290">
            <v>1852</v>
          </cell>
          <cell r="E1290">
            <v>2963</v>
          </cell>
          <cell r="F1290" t="str">
            <v>N4L2</v>
          </cell>
        </row>
        <row r="1291">
          <cell r="A1291">
            <v>3074</v>
          </cell>
          <cell r="E1291">
            <v>4185</v>
          </cell>
          <cell r="F1291" t="str">
            <v>0HYF</v>
          </cell>
        </row>
        <row r="1292">
          <cell r="A1292">
            <v>5296</v>
          </cell>
          <cell r="E1292">
            <v>6307</v>
          </cell>
          <cell r="F1292" t="str">
            <v>DUBS</v>
          </cell>
        </row>
        <row r="1293">
          <cell r="A1293">
            <v>7418</v>
          </cell>
          <cell r="E1293">
            <v>8529</v>
          </cell>
          <cell r="F1293" t="str">
            <v>Q7O5</v>
          </cell>
        </row>
        <row r="1294">
          <cell r="A1294">
            <v>9630</v>
          </cell>
          <cell r="E1294">
            <v>1741</v>
          </cell>
          <cell r="F1294" t="str">
            <v>3K1I</v>
          </cell>
        </row>
        <row r="1295">
          <cell r="A1295">
            <v>1852</v>
          </cell>
          <cell r="E1295">
            <v>2963</v>
          </cell>
          <cell r="F1295" t="str">
            <v>GXEV</v>
          </cell>
        </row>
        <row r="1296">
          <cell r="A1296">
            <v>3074</v>
          </cell>
          <cell r="E1296">
            <v>4185</v>
          </cell>
          <cell r="F1296" t="str">
            <v>TAR8</v>
          </cell>
        </row>
        <row r="1297">
          <cell r="A1297">
            <v>5296</v>
          </cell>
          <cell r="E1297">
            <v>6307</v>
          </cell>
          <cell r="F1297" t="str">
            <v>6N4L</v>
          </cell>
        </row>
        <row r="1298">
          <cell r="A1298">
            <v>7418</v>
          </cell>
          <cell r="E1298">
            <v>8529</v>
          </cell>
          <cell r="F1298" t="str">
            <v>J0HY</v>
          </cell>
        </row>
        <row r="1299">
          <cell r="A1299">
            <v>963074</v>
          </cell>
          <cell r="E1299">
            <v>1741</v>
          </cell>
          <cell r="F1299" t="str">
            <v>WDUB</v>
          </cell>
        </row>
        <row r="1300">
          <cell r="A1300">
            <v>1852</v>
          </cell>
          <cell r="E1300">
            <v>2963</v>
          </cell>
          <cell r="F1300" t="str">
            <v>9Q7O</v>
          </cell>
        </row>
        <row r="1301">
          <cell r="A1301">
            <v>3074</v>
          </cell>
          <cell r="E1301">
            <v>4185</v>
          </cell>
          <cell r="F1301" t="str">
            <v>M3K1</v>
          </cell>
        </row>
        <row r="1302">
          <cell r="A1302">
            <v>5296</v>
          </cell>
          <cell r="E1302">
            <v>6307</v>
          </cell>
          <cell r="F1302" t="str">
            <v>ZGXE</v>
          </cell>
        </row>
        <row r="1303">
          <cell r="A1303">
            <v>7418</v>
          </cell>
          <cell r="E1303">
            <v>8529</v>
          </cell>
          <cell r="F1303" t="str">
            <v>CTAR</v>
          </cell>
        </row>
        <row r="1304">
          <cell r="A1304">
            <v>9630</v>
          </cell>
          <cell r="E1304">
            <v>1741</v>
          </cell>
          <cell r="F1304" t="str">
            <v>P6N4</v>
          </cell>
        </row>
        <row r="1305">
          <cell r="A1305">
            <v>1852</v>
          </cell>
          <cell r="E1305">
            <v>2963</v>
          </cell>
          <cell r="F1305" t="str">
            <v>2J0H</v>
          </cell>
        </row>
        <row r="1306">
          <cell r="A1306">
            <v>3074</v>
          </cell>
          <cell r="E1306">
            <v>4185</v>
          </cell>
          <cell r="F1306" t="str">
            <v>FWDU</v>
          </cell>
        </row>
        <row r="1307">
          <cell r="A1307">
            <v>5296</v>
          </cell>
          <cell r="E1307">
            <v>6307</v>
          </cell>
          <cell r="F1307" t="str">
            <v>S9Q7</v>
          </cell>
        </row>
        <row r="1308">
          <cell r="A1308">
            <v>7418</v>
          </cell>
          <cell r="E1308">
            <v>8529</v>
          </cell>
          <cell r="F1308" t="str">
            <v>5M3K</v>
          </cell>
        </row>
        <row r="1309">
          <cell r="A1309">
            <v>9630</v>
          </cell>
          <cell r="E1309">
            <v>1741</v>
          </cell>
          <cell r="F1309" t="str">
            <v>IZGX</v>
          </cell>
        </row>
        <row r="1310">
          <cell r="A1310">
            <v>1852</v>
          </cell>
          <cell r="E1310">
            <v>2963</v>
          </cell>
          <cell r="F1310" t="str">
            <v>VCTA</v>
          </cell>
        </row>
        <row r="1311">
          <cell r="A1311">
            <v>3074</v>
          </cell>
          <cell r="E1311">
            <v>4185</v>
          </cell>
          <cell r="F1311" t="str">
            <v>8P6N</v>
          </cell>
        </row>
        <row r="1312">
          <cell r="A1312">
            <v>529630</v>
          </cell>
          <cell r="E1312">
            <v>6307</v>
          </cell>
          <cell r="F1312" t="str">
            <v>L2J0</v>
          </cell>
        </row>
        <row r="1313">
          <cell r="A1313">
            <v>741852</v>
          </cell>
          <cell r="E1313">
            <v>852</v>
          </cell>
          <cell r="F1313" t="str">
            <v>YFWD</v>
          </cell>
        </row>
        <row r="1314">
          <cell r="A1314">
            <v>9630</v>
          </cell>
          <cell r="E1314">
            <v>1741</v>
          </cell>
          <cell r="F1314" t="str">
            <v>BS9Q</v>
          </cell>
        </row>
        <row r="1315">
          <cell r="A1315">
            <v>1852</v>
          </cell>
          <cell r="E1315">
            <v>2963</v>
          </cell>
          <cell r="F1315" t="str">
            <v>O5M3</v>
          </cell>
        </row>
        <row r="1316">
          <cell r="A1316">
            <v>3074</v>
          </cell>
          <cell r="E1316">
            <v>4185</v>
          </cell>
          <cell r="F1316" t="str">
            <v>1IZG</v>
          </cell>
        </row>
        <row r="1317">
          <cell r="A1317">
            <v>5296</v>
          </cell>
          <cell r="E1317">
            <v>6307</v>
          </cell>
          <cell r="F1317" t="str">
            <v>EVCT</v>
          </cell>
        </row>
        <row r="1318">
          <cell r="A1318">
            <v>7418</v>
          </cell>
          <cell r="E1318">
            <v>8529</v>
          </cell>
          <cell r="F1318" t="str">
            <v>R8P6</v>
          </cell>
        </row>
        <row r="1319">
          <cell r="A1319">
            <v>9630</v>
          </cell>
          <cell r="E1319">
            <v>1741</v>
          </cell>
          <cell r="F1319" t="str">
            <v>4L2J</v>
          </cell>
        </row>
        <row r="1320">
          <cell r="A1320">
            <v>1852</v>
          </cell>
          <cell r="E1320">
            <v>2963</v>
          </cell>
          <cell r="F1320" t="str">
            <v>HYFW</v>
          </cell>
        </row>
        <row r="1321">
          <cell r="A1321">
            <v>3074</v>
          </cell>
          <cell r="E1321">
            <v>4185</v>
          </cell>
          <cell r="F1321" t="str">
            <v>UBS9</v>
          </cell>
        </row>
        <row r="1322">
          <cell r="A1322">
            <v>5296</v>
          </cell>
          <cell r="E1322">
            <v>6307</v>
          </cell>
          <cell r="F1322" t="str">
            <v>7O5M</v>
          </cell>
        </row>
        <row r="1323">
          <cell r="A1323">
            <v>7418</v>
          </cell>
          <cell r="E1323">
            <v>8529</v>
          </cell>
          <cell r="F1323" t="str">
            <v>K1IZ</v>
          </cell>
        </row>
        <row r="1324">
          <cell r="A1324">
            <v>9630</v>
          </cell>
          <cell r="E1324">
            <v>1741</v>
          </cell>
          <cell r="F1324" t="str">
            <v>XEVC</v>
          </cell>
        </row>
        <row r="1325">
          <cell r="A1325">
            <v>1852</v>
          </cell>
          <cell r="E1325">
            <v>2963</v>
          </cell>
          <cell r="F1325" t="str">
            <v>AR8P</v>
          </cell>
        </row>
        <row r="1326">
          <cell r="A1326">
            <v>3074</v>
          </cell>
          <cell r="E1326">
            <v>4185</v>
          </cell>
          <cell r="F1326" t="str">
            <v>N4L2</v>
          </cell>
        </row>
        <row r="1327">
          <cell r="A1327">
            <v>5296</v>
          </cell>
          <cell r="E1327">
            <v>6307</v>
          </cell>
          <cell r="F1327" t="str">
            <v>0HYF</v>
          </cell>
        </row>
        <row r="1328">
          <cell r="A1328">
            <v>7418</v>
          </cell>
          <cell r="E1328">
            <v>8529</v>
          </cell>
          <cell r="F1328" t="str">
            <v>DUBS</v>
          </cell>
        </row>
        <row r="1329">
          <cell r="A1329">
            <v>9630</v>
          </cell>
          <cell r="E1329">
            <v>1741</v>
          </cell>
          <cell r="F1329" t="str">
            <v>Q7O5</v>
          </cell>
        </row>
        <row r="1330">
          <cell r="A1330">
            <v>1852</v>
          </cell>
          <cell r="E1330">
            <v>2963</v>
          </cell>
          <cell r="F1330" t="str">
            <v>3K1I</v>
          </cell>
        </row>
        <row r="1331">
          <cell r="A1331">
            <v>3074</v>
          </cell>
          <cell r="E1331">
            <v>4185</v>
          </cell>
          <cell r="F1331" t="str">
            <v>GXEV</v>
          </cell>
        </row>
        <row r="1332">
          <cell r="A1332">
            <v>5296</v>
          </cell>
          <cell r="E1332">
            <v>6307</v>
          </cell>
          <cell r="F1332" t="str">
            <v>TAR8</v>
          </cell>
        </row>
        <row r="1333">
          <cell r="A1333">
            <v>7418</v>
          </cell>
          <cell r="E1333">
            <v>8529</v>
          </cell>
          <cell r="F1333" t="str">
            <v>6N4L</v>
          </cell>
        </row>
        <row r="1334">
          <cell r="A1334">
            <v>9630</v>
          </cell>
          <cell r="E1334">
            <v>1741</v>
          </cell>
          <cell r="F1334" t="str">
            <v>J0HY</v>
          </cell>
        </row>
        <row r="1335">
          <cell r="A1335">
            <v>1852</v>
          </cell>
          <cell r="E1335">
            <v>2963</v>
          </cell>
          <cell r="F1335" t="str">
            <v>WDUB</v>
          </cell>
        </row>
        <row r="1336">
          <cell r="A1336">
            <v>3074</v>
          </cell>
          <cell r="E1336">
            <v>4185</v>
          </cell>
          <cell r="F1336" t="str">
            <v>9Q7O</v>
          </cell>
        </row>
        <row r="1337">
          <cell r="A1337">
            <v>5296</v>
          </cell>
          <cell r="E1337">
            <v>6307</v>
          </cell>
          <cell r="F1337" t="str">
            <v>M3K1</v>
          </cell>
        </row>
        <row r="1338">
          <cell r="A1338">
            <v>7418</v>
          </cell>
          <cell r="E1338">
            <v>8529</v>
          </cell>
          <cell r="F1338" t="str">
            <v>ZGXE</v>
          </cell>
        </row>
        <row r="1339">
          <cell r="A1339">
            <v>9630</v>
          </cell>
          <cell r="E1339">
            <v>1741</v>
          </cell>
          <cell r="F1339" t="str">
            <v>CTAR</v>
          </cell>
        </row>
        <row r="1340">
          <cell r="A1340">
            <v>1852</v>
          </cell>
          <cell r="E1340">
            <v>2963</v>
          </cell>
          <cell r="F1340" t="str">
            <v>P6N4</v>
          </cell>
        </row>
        <row r="1341">
          <cell r="A1341">
            <v>3074</v>
          </cell>
          <cell r="E1341">
            <v>4185</v>
          </cell>
          <cell r="F1341" t="str">
            <v>2J0H</v>
          </cell>
        </row>
        <row r="1342">
          <cell r="A1342">
            <v>5296</v>
          </cell>
          <cell r="E1342">
            <v>6307</v>
          </cell>
          <cell r="F1342" t="str">
            <v>FWDU</v>
          </cell>
        </row>
        <row r="1343">
          <cell r="A1343">
            <v>7418</v>
          </cell>
          <cell r="E1343">
            <v>8529</v>
          </cell>
          <cell r="F1343" t="str">
            <v>S9Q7</v>
          </cell>
        </row>
        <row r="1344">
          <cell r="A1344">
            <v>9630</v>
          </cell>
          <cell r="E1344">
            <v>1741</v>
          </cell>
          <cell r="F1344" t="str">
            <v>5M3K</v>
          </cell>
        </row>
        <row r="1345">
          <cell r="A1345">
            <v>1852</v>
          </cell>
          <cell r="E1345">
            <v>2963</v>
          </cell>
          <cell r="F1345" t="str">
            <v>IZGX</v>
          </cell>
        </row>
        <row r="1346">
          <cell r="A1346">
            <v>3074</v>
          </cell>
          <cell r="E1346">
            <v>4185</v>
          </cell>
          <cell r="F1346" t="str">
            <v>VCTA</v>
          </cell>
        </row>
        <row r="1347">
          <cell r="A1347">
            <v>5296</v>
          </cell>
          <cell r="E1347">
            <v>6307</v>
          </cell>
          <cell r="F1347" t="str">
            <v>8P6N</v>
          </cell>
        </row>
        <row r="1348">
          <cell r="A1348">
            <v>7418</v>
          </cell>
          <cell r="E1348">
            <v>8529</v>
          </cell>
          <cell r="F1348" t="str">
            <v>L2J0</v>
          </cell>
        </row>
        <row r="1349">
          <cell r="A1349">
            <v>9630</v>
          </cell>
          <cell r="E1349">
            <v>1741</v>
          </cell>
          <cell r="F1349" t="str">
            <v>YFWD</v>
          </cell>
        </row>
        <row r="1350">
          <cell r="A1350">
            <v>1852</v>
          </cell>
          <cell r="E1350">
            <v>2963</v>
          </cell>
          <cell r="F1350" t="str">
            <v>BS9Q</v>
          </cell>
        </row>
        <row r="1351">
          <cell r="A1351">
            <v>3074</v>
          </cell>
          <cell r="E1351">
            <v>4185</v>
          </cell>
          <cell r="F1351" t="str">
            <v>O5M3</v>
          </cell>
        </row>
        <row r="1352">
          <cell r="A1352">
            <v>5296</v>
          </cell>
          <cell r="E1352">
            <v>6307</v>
          </cell>
          <cell r="F1352" t="str">
            <v>1IZG</v>
          </cell>
        </row>
        <row r="1353">
          <cell r="A1353">
            <v>7418</v>
          </cell>
          <cell r="E1353">
            <v>8529</v>
          </cell>
          <cell r="F1353" t="str">
            <v>EVCT</v>
          </cell>
        </row>
        <row r="1354">
          <cell r="A1354">
            <v>9630</v>
          </cell>
          <cell r="E1354">
            <v>1741</v>
          </cell>
          <cell r="F1354" t="str">
            <v>R8P6</v>
          </cell>
        </row>
        <row r="1355">
          <cell r="A1355">
            <v>1852</v>
          </cell>
          <cell r="E1355">
            <v>2963</v>
          </cell>
          <cell r="F1355" t="str">
            <v>4L2J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Sheet2"/>
      <sheetName val="Sheet3"/>
    </sheetNames>
    <sheetDataSet>
      <sheetData sheetId="0">
        <row r="1">
          <cell r="A1" t="str">
            <v>AR8P6N4L2J0HYFWDU</v>
          </cell>
        </row>
        <row r="2">
          <cell r="A2" t="str">
            <v>N4</v>
          </cell>
          <cell r="G2" t="str">
            <v>0</v>
          </cell>
        </row>
        <row r="3">
          <cell r="A3" t="str">
            <v>DUB</v>
          </cell>
          <cell r="G3" t="str">
            <v>Q7O5M3</v>
          </cell>
        </row>
        <row r="4">
          <cell r="A4" t="str">
            <v>3K</v>
          </cell>
          <cell r="G4" t="str">
            <v>G</v>
          </cell>
        </row>
        <row r="5">
          <cell r="A5" t="str">
            <v>TAR</v>
          </cell>
          <cell r="G5" t="str">
            <v>6</v>
          </cell>
        </row>
        <row r="6">
          <cell r="A6" t="str">
            <v>J0H</v>
          </cell>
          <cell r="G6" t="str">
            <v>WD</v>
          </cell>
        </row>
        <row r="7">
          <cell r="A7">
            <v>3074</v>
          </cell>
          <cell r="G7" t="str">
            <v>9Q7O</v>
          </cell>
        </row>
        <row r="8">
          <cell r="A8">
            <v>4185</v>
          </cell>
          <cell r="G8" t="str">
            <v>M3K1</v>
          </cell>
        </row>
        <row r="9">
          <cell r="A9">
            <v>529630</v>
          </cell>
          <cell r="G9" t="str">
            <v>ZGXEVCT</v>
          </cell>
        </row>
        <row r="10">
          <cell r="A10">
            <v>6307</v>
          </cell>
          <cell r="G10" t="str">
            <v>CTAR8P6N4L</v>
          </cell>
        </row>
        <row r="11">
          <cell r="A11">
            <v>741852</v>
          </cell>
          <cell r="G11" t="str">
            <v>P6N4L2J0H</v>
          </cell>
        </row>
        <row r="12">
          <cell r="A12">
            <v>8529</v>
          </cell>
          <cell r="G12" t="str">
            <v>2J0HYFWD</v>
          </cell>
        </row>
        <row r="13">
          <cell r="A13">
            <v>9630</v>
          </cell>
          <cell r="G13" t="str">
            <v>FWDUBS9Q</v>
          </cell>
        </row>
        <row r="14">
          <cell r="A14">
            <v>1741</v>
          </cell>
          <cell r="G14" t="str">
            <v>S9Q7O5M3K</v>
          </cell>
        </row>
        <row r="15">
          <cell r="A15">
            <v>1852</v>
          </cell>
          <cell r="G15" t="str">
            <v>5M3K1IZGX</v>
          </cell>
        </row>
        <row r="16">
          <cell r="A16">
            <v>2963</v>
          </cell>
          <cell r="G16" t="str">
            <v>IZGXEVCTAR</v>
          </cell>
        </row>
        <row r="17">
          <cell r="A17">
            <v>3074</v>
          </cell>
          <cell r="G17" t="str">
            <v>VCTAR8P6N</v>
          </cell>
        </row>
        <row r="18">
          <cell r="A18">
            <v>4185</v>
          </cell>
          <cell r="G18" t="str">
            <v>8P6N4L2J0H</v>
          </cell>
        </row>
        <row r="19">
          <cell r="A19">
            <v>5296</v>
          </cell>
          <cell r="G19" t="str">
            <v>L2J0H</v>
          </cell>
        </row>
        <row r="20">
          <cell r="A20">
            <v>6307</v>
          </cell>
          <cell r="G20" t="str">
            <v>YFWDU</v>
          </cell>
        </row>
        <row r="21">
          <cell r="A21">
            <v>7418</v>
          </cell>
          <cell r="G21" t="str">
            <v>BS9Q7</v>
          </cell>
        </row>
        <row r="22">
          <cell r="A22">
            <v>8529</v>
          </cell>
          <cell r="G22" t="str">
            <v>O5M3K</v>
          </cell>
        </row>
        <row r="23">
          <cell r="A23">
            <v>9630</v>
          </cell>
          <cell r="G23" t="str">
            <v>1IZGX</v>
          </cell>
        </row>
        <row r="24">
          <cell r="A24">
            <v>1741</v>
          </cell>
          <cell r="G24" t="str">
            <v>EVCTAR8P6</v>
          </cell>
        </row>
        <row r="25">
          <cell r="A25">
            <v>1852</v>
          </cell>
          <cell r="G25" t="str">
            <v>R8P6N4L2J0</v>
          </cell>
        </row>
        <row r="26">
          <cell r="A26">
            <v>2963</v>
          </cell>
          <cell r="G26" t="str">
            <v>4L2J0HYFWD</v>
          </cell>
        </row>
        <row r="27">
          <cell r="A27">
            <v>3074</v>
          </cell>
          <cell r="G27" t="str">
            <v>HYFWDUBS9Q</v>
          </cell>
        </row>
        <row r="28">
          <cell r="A28">
            <v>4185</v>
          </cell>
          <cell r="G28" t="str">
            <v>UBS9Q</v>
          </cell>
        </row>
        <row r="29">
          <cell r="A29">
            <v>5296</v>
          </cell>
          <cell r="G29" t="str">
            <v>7O5M3</v>
          </cell>
        </row>
        <row r="30">
          <cell r="A30">
            <v>6307</v>
          </cell>
          <cell r="G30" t="str">
            <v>K1IZG</v>
          </cell>
        </row>
        <row r="31">
          <cell r="A31">
            <v>7418</v>
          </cell>
          <cell r="G31" t="str">
            <v>XEVCT</v>
          </cell>
        </row>
        <row r="32">
          <cell r="A32">
            <v>8529</v>
          </cell>
          <cell r="G32" t="str">
            <v>AR8P6N</v>
          </cell>
        </row>
        <row r="33">
          <cell r="A33">
            <v>9630</v>
          </cell>
          <cell r="G33" t="str">
            <v>N4L2J0HYF</v>
          </cell>
        </row>
        <row r="34">
          <cell r="A34">
            <v>1741</v>
          </cell>
          <cell r="G34" t="str">
            <v>0HYFWDUBS</v>
          </cell>
        </row>
        <row r="35">
          <cell r="A35">
            <v>1852</v>
          </cell>
          <cell r="G35" t="str">
            <v>DUBS9Q7O</v>
          </cell>
        </row>
        <row r="36">
          <cell r="A36">
            <v>2963</v>
          </cell>
          <cell r="G36" t="str">
            <v>Q7O5M3</v>
          </cell>
        </row>
        <row r="37">
          <cell r="A37">
            <v>3074</v>
          </cell>
          <cell r="G37" t="str">
            <v>3K1IZG</v>
          </cell>
        </row>
        <row r="38">
          <cell r="A38">
            <v>4185</v>
          </cell>
          <cell r="G38" t="str">
            <v>GXEVCT</v>
          </cell>
        </row>
        <row r="39">
          <cell r="A39">
            <v>5296</v>
          </cell>
          <cell r="G39" t="str">
            <v>TAR8P6</v>
          </cell>
        </row>
        <row r="40">
          <cell r="A40">
            <v>6307</v>
          </cell>
          <cell r="G40" t="str">
            <v>6N4L2J</v>
          </cell>
        </row>
        <row r="41">
          <cell r="A41">
            <v>7418</v>
          </cell>
          <cell r="G41" t="str">
            <v>J0HY</v>
          </cell>
        </row>
        <row r="42">
          <cell r="A42">
            <v>8529</v>
          </cell>
          <cell r="G42" t="str">
            <v>WDUBS9Q7O</v>
          </cell>
        </row>
        <row r="43">
          <cell r="A43">
            <v>9630</v>
          </cell>
          <cell r="G43" t="str">
            <v>9Q7O5M3K1</v>
          </cell>
        </row>
        <row r="44">
          <cell r="A44">
            <v>1741</v>
          </cell>
          <cell r="G44" t="str">
            <v>M3K1IZGX</v>
          </cell>
        </row>
        <row r="45">
          <cell r="A45">
            <v>1852</v>
          </cell>
          <cell r="G45" t="str">
            <v>ZGXE</v>
          </cell>
        </row>
        <row r="46">
          <cell r="A46">
            <v>2963</v>
          </cell>
          <cell r="G46" t="str">
            <v>CTAR8P6N4</v>
          </cell>
        </row>
        <row r="47">
          <cell r="A47">
            <v>3074</v>
          </cell>
          <cell r="G47" t="str">
            <v>P6N4L2J0H</v>
          </cell>
        </row>
        <row r="48">
          <cell r="A48">
            <v>4185</v>
          </cell>
          <cell r="G48" t="str">
            <v>2J0H</v>
          </cell>
        </row>
        <row r="49">
          <cell r="A49">
            <v>5296</v>
          </cell>
          <cell r="G49" t="str">
            <v>FWDUBS9Q7</v>
          </cell>
        </row>
        <row r="50">
          <cell r="A50">
            <v>6307</v>
          </cell>
          <cell r="G50" t="str">
            <v>S9Q7O5M3K</v>
          </cell>
        </row>
        <row r="51">
          <cell r="A51">
            <v>7418</v>
          </cell>
          <cell r="G51" t="str">
            <v>5M3K</v>
          </cell>
        </row>
        <row r="52">
          <cell r="A52">
            <v>8529</v>
          </cell>
          <cell r="G52" t="str">
            <v>IZGXEV</v>
          </cell>
        </row>
        <row r="53">
          <cell r="A53">
            <v>9630</v>
          </cell>
          <cell r="G53" t="str">
            <v>VCTAR8</v>
          </cell>
        </row>
        <row r="54">
          <cell r="A54">
            <v>1741</v>
          </cell>
          <cell r="G54" t="str">
            <v>8P6N4L2J0</v>
          </cell>
        </row>
        <row r="55">
          <cell r="A55">
            <v>1852</v>
          </cell>
          <cell r="G55" t="str">
            <v>L2J0HYFWDU</v>
          </cell>
        </row>
        <row r="56">
          <cell r="A56">
            <v>2963</v>
          </cell>
          <cell r="G56" t="str">
            <v>YFWDUBS9</v>
          </cell>
        </row>
        <row r="57">
          <cell r="A57">
            <v>3074</v>
          </cell>
          <cell r="G57" t="str">
            <v>BS9Q7O5</v>
          </cell>
        </row>
        <row r="58">
          <cell r="A58">
            <v>4185</v>
          </cell>
          <cell r="G58" t="str">
            <v>O5M3K</v>
          </cell>
        </row>
        <row r="59">
          <cell r="A59">
            <v>5296</v>
          </cell>
          <cell r="G59" t="str">
            <v>1IZGXEV</v>
          </cell>
        </row>
        <row r="60">
          <cell r="A60">
            <v>6307</v>
          </cell>
          <cell r="G60" t="str">
            <v>EVCTA</v>
          </cell>
        </row>
        <row r="61">
          <cell r="A61">
            <v>7418</v>
          </cell>
          <cell r="G61" t="str">
            <v>R8P6N</v>
          </cell>
        </row>
        <row r="62">
          <cell r="A62">
            <v>8529</v>
          </cell>
          <cell r="G62" t="str">
            <v>4L2J0HYFWD</v>
          </cell>
        </row>
        <row r="63">
          <cell r="A63">
            <v>9630</v>
          </cell>
          <cell r="G63" t="str">
            <v>HYFWD</v>
          </cell>
        </row>
        <row r="64">
          <cell r="A64">
            <v>1741</v>
          </cell>
          <cell r="G64" t="str">
            <v>UBS9Q</v>
          </cell>
        </row>
        <row r="65">
          <cell r="A65">
            <v>1852</v>
          </cell>
          <cell r="G65" t="str">
            <v>7O5M3K1I</v>
          </cell>
        </row>
        <row r="66">
          <cell r="A66">
            <v>2963</v>
          </cell>
          <cell r="G66" t="str">
            <v>K1IZGXEVC</v>
          </cell>
        </row>
        <row r="67">
          <cell r="A67">
            <v>3074</v>
          </cell>
          <cell r="G67" t="str">
            <v>XEVCTAR8P</v>
          </cell>
        </row>
        <row r="68">
          <cell r="A68">
            <v>4185</v>
          </cell>
          <cell r="G68" t="str">
            <v>AR8P6N4L2J</v>
          </cell>
        </row>
        <row r="69">
          <cell r="A69">
            <v>5296</v>
          </cell>
          <cell r="G69" t="str">
            <v>N4L2J0HYF</v>
          </cell>
        </row>
        <row r="70">
          <cell r="A70">
            <v>6307</v>
          </cell>
          <cell r="G70" t="str">
            <v>0HYFWDUBS9</v>
          </cell>
        </row>
        <row r="71">
          <cell r="A71">
            <v>7418</v>
          </cell>
          <cell r="G71" t="str">
            <v>DUBS9Q7O5M</v>
          </cell>
        </row>
        <row r="72">
          <cell r="A72">
            <v>8529</v>
          </cell>
          <cell r="G72" t="str">
            <v>Q7O5M3K1</v>
          </cell>
        </row>
        <row r="73">
          <cell r="A73">
            <v>9630</v>
          </cell>
          <cell r="G73" t="str">
            <v>3K1IZ</v>
          </cell>
        </row>
        <row r="74">
          <cell r="A74">
            <v>1741</v>
          </cell>
          <cell r="G74" t="str">
            <v>GXEVC</v>
          </cell>
        </row>
        <row r="75">
          <cell r="A75">
            <v>1852</v>
          </cell>
          <cell r="G75" t="str">
            <v>TAR8P</v>
          </cell>
        </row>
        <row r="76">
          <cell r="A76">
            <v>2963</v>
          </cell>
          <cell r="G76" t="str">
            <v>6N4L2</v>
          </cell>
        </row>
        <row r="77">
          <cell r="A77">
            <v>3074</v>
          </cell>
          <cell r="G77" t="str">
            <v>J0HYFW</v>
          </cell>
        </row>
        <row r="78">
          <cell r="A78">
            <v>4185</v>
          </cell>
          <cell r="G78" t="str">
            <v>WDUBS9Q7O</v>
          </cell>
        </row>
        <row r="79">
          <cell r="A79">
            <v>5296</v>
          </cell>
          <cell r="G79" t="str">
            <v>9Q7O5M3K1I</v>
          </cell>
        </row>
        <row r="80">
          <cell r="A80">
            <v>6307</v>
          </cell>
          <cell r="G80" t="str">
            <v>M3K1IZGXEV</v>
          </cell>
        </row>
        <row r="81">
          <cell r="A81">
            <v>7418</v>
          </cell>
          <cell r="G81" t="str">
            <v>ZGXEVCTAR8</v>
          </cell>
        </row>
        <row r="82">
          <cell r="A82">
            <v>8529</v>
          </cell>
          <cell r="G82" t="str">
            <v>CTAR8P6N4</v>
          </cell>
        </row>
        <row r="83">
          <cell r="A83">
            <v>9630</v>
          </cell>
          <cell r="G83" t="str">
            <v>P6N4L2J0H</v>
          </cell>
        </row>
        <row r="84">
          <cell r="A84">
            <v>1741</v>
          </cell>
          <cell r="G84" t="str">
            <v>2J0HYFWD</v>
          </cell>
        </row>
        <row r="85">
          <cell r="A85">
            <v>1852</v>
          </cell>
          <cell r="G85" t="str">
            <v>FWDUBS9Q</v>
          </cell>
        </row>
        <row r="86">
          <cell r="A86">
            <v>2963</v>
          </cell>
          <cell r="G86" t="str">
            <v>S9Q7O5</v>
          </cell>
        </row>
        <row r="87">
          <cell r="A87">
            <v>3074</v>
          </cell>
          <cell r="G87" t="str">
            <v>5M3K1I</v>
          </cell>
        </row>
        <row r="88">
          <cell r="A88">
            <v>4185</v>
          </cell>
          <cell r="G88" t="str">
            <v>IZGXEV</v>
          </cell>
        </row>
        <row r="89">
          <cell r="A89">
            <v>5296</v>
          </cell>
          <cell r="G89" t="str">
            <v>VCTAR8P6N4</v>
          </cell>
        </row>
        <row r="90">
          <cell r="A90">
            <v>6307</v>
          </cell>
          <cell r="G90" t="str">
            <v>8P6N4L</v>
          </cell>
        </row>
        <row r="91">
          <cell r="A91">
            <v>7418</v>
          </cell>
          <cell r="G91" t="str">
            <v>L2J0HY</v>
          </cell>
        </row>
        <row r="92">
          <cell r="A92">
            <v>8529</v>
          </cell>
          <cell r="G92" t="str">
            <v>YFWD</v>
          </cell>
        </row>
        <row r="93">
          <cell r="A93">
            <v>9630</v>
          </cell>
          <cell r="G93" t="str">
            <v>BS9Q7O5M3</v>
          </cell>
        </row>
        <row r="94">
          <cell r="A94">
            <v>1741</v>
          </cell>
          <cell r="G94" t="str">
            <v>O5M3K1IZ</v>
          </cell>
        </row>
        <row r="95">
          <cell r="A95">
            <v>1852</v>
          </cell>
          <cell r="G95" t="str">
            <v>1IZGXEVCT</v>
          </cell>
        </row>
        <row r="96">
          <cell r="A96">
            <v>2963</v>
          </cell>
          <cell r="G96" t="str">
            <v>EVCT</v>
          </cell>
        </row>
        <row r="97">
          <cell r="A97">
            <v>3074</v>
          </cell>
          <cell r="G97" t="str">
            <v>R8P6N4L2J</v>
          </cell>
        </row>
        <row r="98">
          <cell r="A98">
            <v>4185</v>
          </cell>
          <cell r="G98" t="str">
            <v>4L2J</v>
          </cell>
        </row>
        <row r="99">
          <cell r="A99">
            <v>5296</v>
          </cell>
          <cell r="G99" t="str">
            <v>HYFWDUBS9</v>
          </cell>
        </row>
        <row r="100">
          <cell r="A100">
            <v>6307</v>
          </cell>
          <cell r="G100" t="str">
            <v>UBS9</v>
          </cell>
        </row>
        <row r="101">
          <cell r="A101">
            <v>7418</v>
          </cell>
          <cell r="G101" t="str">
            <v>7O5M3K1IZ</v>
          </cell>
        </row>
        <row r="102">
          <cell r="A102">
            <v>8529</v>
          </cell>
          <cell r="G102" t="str">
            <v>K1IZGXEV</v>
          </cell>
        </row>
        <row r="103">
          <cell r="A103">
            <v>9630</v>
          </cell>
          <cell r="G103" t="str">
            <v>XEVCTAR</v>
          </cell>
        </row>
        <row r="104">
          <cell r="A104">
            <v>174185</v>
          </cell>
          <cell r="G104" t="str">
            <v>AR8P6N4L2</v>
          </cell>
        </row>
        <row r="105">
          <cell r="A105">
            <v>1852</v>
          </cell>
          <cell r="G105" t="str">
            <v>N4L2</v>
          </cell>
        </row>
        <row r="106">
          <cell r="A106">
            <v>2963</v>
          </cell>
          <cell r="G106" t="str">
            <v>0HYFWDUBS</v>
          </cell>
        </row>
        <row r="107">
          <cell r="A107">
            <v>3074</v>
          </cell>
          <cell r="G107" t="str">
            <v>DUBS</v>
          </cell>
        </row>
        <row r="108">
          <cell r="A108">
            <v>4185</v>
          </cell>
          <cell r="G108" t="str">
            <v>Q7O5M3K1I</v>
          </cell>
        </row>
        <row r="109">
          <cell r="A109">
            <v>5296</v>
          </cell>
          <cell r="G109" t="str">
            <v>3K1I</v>
          </cell>
        </row>
        <row r="110">
          <cell r="A110">
            <v>6307</v>
          </cell>
          <cell r="G110" t="str">
            <v>GXEVCT</v>
          </cell>
        </row>
        <row r="111">
          <cell r="A111">
            <v>7418</v>
          </cell>
          <cell r="G111" t="str">
            <v>TAR8</v>
          </cell>
        </row>
        <row r="112">
          <cell r="A112">
            <v>8529</v>
          </cell>
          <cell r="G112" t="str">
            <v>6N4L2J0HY</v>
          </cell>
        </row>
        <row r="113">
          <cell r="A113">
            <v>9630</v>
          </cell>
          <cell r="G113" t="str">
            <v>J0HYFWDUBS</v>
          </cell>
        </row>
        <row r="114">
          <cell r="A114">
            <v>1741</v>
          </cell>
          <cell r="G114" t="str">
            <v>WDUBS9Q7</v>
          </cell>
        </row>
        <row r="115">
          <cell r="A115">
            <v>1852</v>
          </cell>
          <cell r="G115" t="str">
            <v>9Q7O5</v>
          </cell>
        </row>
        <row r="116">
          <cell r="A116">
            <v>2963</v>
          </cell>
          <cell r="G116" t="str">
            <v>M3K1I</v>
          </cell>
        </row>
        <row r="117">
          <cell r="A117">
            <v>3074</v>
          </cell>
          <cell r="G117" t="str">
            <v>ZGXEV</v>
          </cell>
        </row>
        <row r="118">
          <cell r="A118">
            <v>4185</v>
          </cell>
          <cell r="G118" t="str">
            <v>CTAR8P6N4L</v>
          </cell>
        </row>
        <row r="119">
          <cell r="A119">
            <v>5296</v>
          </cell>
          <cell r="G119" t="str">
            <v>P6N4L</v>
          </cell>
        </row>
        <row r="120">
          <cell r="A120">
            <v>6307</v>
          </cell>
          <cell r="G120" t="str">
            <v>2J0HY</v>
          </cell>
        </row>
        <row r="121">
          <cell r="A121">
            <v>7418</v>
          </cell>
          <cell r="G121" t="str">
            <v>FWDUBS9Q</v>
          </cell>
        </row>
        <row r="122">
          <cell r="A122">
            <v>8529</v>
          </cell>
          <cell r="G122" t="str">
            <v>S9Q7O5M3K</v>
          </cell>
        </row>
        <row r="123">
          <cell r="A123">
            <v>9630</v>
          </cell>
          <cell r="G123" t="str">
            <v>5M3K1IZGX</v>
          </cell>
        </row>
        <row r="124">
          <cell r="A124">
            <v>1741</v>
          </cell>
          <cell r="G124" t="str">
            <v>IZGXEVCTAR</v>
          </cell>
        </row>
        <row r="125">
          <cell r="A125">
            <v>1852</v>
          </cell>
          <cell r="G125" t="str">
            <v>VCTAR8P6N</v>
          </cell>
        </row>
        <row r="126">
          <cell r="A126">
            <v>2963</v>
          </cell>
          <cell r="G126" t="str">
            <v>8P6N4L2J0H</v>
          </cell>
        </row>
        <row r="127">
          <cell r="A127">
            <v>3074</v>
          </cell>
          <cell r="G127" t="str">
            <v>L2J0HYFWD</v>
          </cell>
        </row>
        <row r="128">
          <cell r="A128">
            <v>4185</v>
          </cell>
          <cell r="G128" t="str">
            <v>YFWDU</v>
          </cell>
        </row>
        <row r="129">
          <cell r="A129">
            <v>5296</v>
          </cell>
          <cell r="G129" t="str">
            <v>BS9Q7</v>
          </cell>
        </row>
        <row r="130">
          <cell r="A130">
            <v>6307</v>
          </cell>
          <cell r="G130" t="str">
            <v>O5M3K</v>
          </cell>
        </row>
        <row r="131">
          <cell r="A131">
            <v>7418</v>
          </cell>
          <cell r="G131" t="str">
            <v>1IZGX</v>
          </cell>
        </row>
        <row r="132">
          <cell r="A132">
            <v>8529</v>
          </cell>
          <cell r="G132" t="str">
            <v>EVCTAR</v>
          </cell>
        </row>
        <row r="133">
          <cell r="A133">
            <v>9630</v>
          </cell>
          <cell r="G133" t="str">
            <v>R8P6N4L2J</v>
          </cell>
        </row>
        <row r="134">
          <cell r="A134">
            <v>1741</v>
          </cell>
          <cell r="G134" t="str">
            <v>4L2J0HYFWD</v>
          </cell>
        </row>
        <row r="135">
          <cell r="A135">
            <v>1852</v>
          </cell>
          <cell r="G135" t="str">
            <v>HYFWDUBS9Q</v>
          </cell>
        </row>
        <row r="136">
          <cell r="A136">
            <v>2963</v>
          </cell>
          <cell r="G136" t="str">
            <v>UBS9Q7O5M3</v>
          </cell>
        </row>
        <row r="137">
          <cell r="A137">
            <v>3074</v>
          </cell>
          <cell r="G137" t="str">
            <v>7O5M3K1IZ</v>
          </cell>
        </row>
        <row r="138">
          <cell r="A138">
            <v>4185</v>
          </cell>
          <cell r="G138" t="str">
            <v>K1IZGXEVC</v>
          </cell>
        </row>
        <row r="139">
          <cell r="A139">
            <v>5296</v>
          </cell>
          <cell r="G139" t="str">
            <v>XEVCTAR8</v>
          </cell>
        </row>
        <row r="140">
          <cell r="A140">
            <v>6307</v>
          </cell>
          <cell r="G140" t="str">
            <v>AR8P6N4L2</v>
          </cell>
        </row>
        <row r="141">
          <cell r="A141">
            <v>7418</v>
          </cell>
          <cell r="G141" t="str">
            <v>N4L2J0</v>
          </cell>
        </row>
        <row r="142">
          <cell r="A142">
            <v>8529</v>
          </cell>
          <cell r="G142" t="str">
            <v>0HYFWD</v>
          </cell>
        </row>
        <row r="143">
          <cell r="A143">
            <v>9630</v>
          </cell>
          <cell r="G143" t="str">
            <v>DUBS9Q</v>
          </cell>
        </row>
        <row r="144">
          <cell r="A144">
            <v>1741</v>
          </cell>
          <cell r="G144" t="str">
            <v>Q7O5M3K1IZ</v>
          </cell>
        </row>
        <row r="145">
          <cell r="A145">
            <v>1852</v>
          </cell>
          <cell r="G145" t="str">
            <v>3K1IZG</v>
          </cell>
        </row>
        <row r="146">
          <cell r="A146">
            <v>2963</v>
          </cell>
          <cell r="G146" t="str">
            <v>GXEVCT</v>
          </cell>
        </row>
        <row r="147">
          <cell r="A147">
            <v>3074</v>
          </cell>
          <cell r="G147" t="str">
            <v>TAR8</v>
          </cell>
        </row>
        <row r="148">
          <cell r="A148">
            <v>4185</v>
          </cell>
          <cell r="G148" t="str">
            <v>6N4L2J0HY</v>
          </cell>
        </row>
        <row r="149">
          <cell r="A149">
            <v>5296</v>
          </cell>
          <cell r="G149" t="str">
            <v>J0HYFWDU</v>
          </cell>
        </row>
        <row r="150">
          <cell r="A150">
            <v>6307</v>
          </cell>
          <cell r="G150" t="str">
            <v>WDUBS9Q</v>
          </cell>
        </row>
        <row r="151">
          <cell r="A151">
            <v>741852</v>
          </cell>
          <cell r="G151" t="str">
            <v>9Q7O5M3K1</v>
          </cell>
        </row>
        <row r="152">
          <cell r="A152">
            <v>8529</v>
          </cell>
          <cell r="G152" t="str">
            <v>M3K1</v>
          </cell>
        </row>
        <row r="153">
          <cell r="A153">
            <v>9630</v>
          </cell>
          <cell r="G153" t="str">
            <v>ZGXEVCTAR</v>
          </cell>
        </row>
        <row r="154">
          <cell r="A154">
            <v>1741</v>
          </cell>
          <cell r="G154" t="str">
            <v>CTAR</v>
          </cell>
        </row>
        <row r="155">
          <cell r="A155">
            <v>1852</v>
          </cell>
          <cell r="G155" t="str">
            <v>P6N4L2J0</v>
          </cell>
        </row>
        <row r="156">
          <cell r="A156">
            <v>2963</v>
          </cell>
          <cell r="G156" t="str">
            <v>2J0H</v>
          </cell>
        </row>
        <row r="157">
          <cell r="A157">
            <v>3074</v>
          </cell>
          <cell r="G157" t="str">
            <v>FWDUBS9</v>
          </cell>
        </row>
        <row r="158">
          <cell r="A158">
            <v>4185</v>
          </cell>
          <cell r="G158" t="str">
            <v>S9Q7</v>
          </cell>
        </row>
        <row r="159">
          <cell r="A159">
            <v>5296</v>
          </cell>
          <cell r="G159" t="str">
            <v>5M3K1IZGX</v>
          </cell>
        </row>
        <row r="160">
          <cell r="A160">
            <v>6307</v>
          </cell>
          <cell r="G160" t="str">
            <v>IZGX</v>
          </cell>
        </row>
        <row r="161">
          <cell r="A161">
            <v>7418</v>
          </cell>
          <cell r="G161" t="str">
            <v>VCTAR8</v>
          </cell>
        </row>
        <row r="162">
          <cell r="A162">
            <v>8529</v>
          </cell>
          <cell r="G162" t="str">
            <v>8P6N</v>
          </cell>
        </row>
        <row r="163">
          <cell r="A163">
            <v>9630</v>
          </cell>
          <cell r="G163" t="str">
            <v>L2J0HYFWD</v>
          </cell>
        </row>
        <row r="164">
          <cell r="A164">
            <v>1741</v>
          </cell>
          <cell r="G164" t="str">
            <v>YFWDUBS9Q7</v>
          </cell>
        </row>
        <row r="165">
          <cell r="A165">
            <v>1852</v>
          </cell>
          <cell r="G165" t="str">
            <v>BS9Q7O5M</v>
          </cell>
        </row>
        <row r="166">
          <cell r="A166">
            <v>2963</v>
          </cell>
          <cell r="G166" t="str">
            <v>O5M3K</v>
          </cell>
        </row>
        <row r="167">
          <cell r="A167">
            <v>3074</v>
          </cell>
          <cell r="G167" t="str">
            <v>1IZGX</v>
          </cell>
        </row>
        <row r="168">
          <cell r="A168">
            <v>4185</v>
          </cell>
          <cell r="G168" t="str">
            <v>EVCTA</v>
          </cell>
        </row>
        <row r="169">
          <cell r="A169">
            <v>5296</v>
          </cell>
          <cell r="G169" t="str">
            <v>R8P6N4L2J0</v>
          </cell>
        </row>
        <row r="170">
          <cell r="A170">
            <v>6307</v>
          </cell>
          <cell r="G170" t="str">
            <v>4L2J0</v>
          </cell>
        </row>
        <row r="171">
          <cell r="A171">
            <v>7418</v>
          </cell>
          <cell r="G171" t="str">
            <v>HYFWD</v>
          </cell>
        </row>
        <row r="172">
          <cell r="A172">
            <v>8529</v>
          </cell>
          <cell r="G172" t="str">
            <v>UBS9Q7O5</v>
          </cell>
        </row>
        <row r="173">
          <cell r="A173">
            <v>9630</v>
          </cell>
          <cell r="G173" t="str">
            <v>7O5M3K1IZ</v>
          </cell>
        </row>
        <row r="174">
          <cell r="A174">
            <v>1741</v>
          </cell>
          <cell r="G174" t="str">
            <v>K1IZGXEVC</v>
          </cell>
        </row>
        <row r="175">
          <cell r="A175">
            <v>1852</v>
          </cell>
          <cell r="G175" t="str">
            <v>XEVCTAR8P6</v>
          </cell>
        </row>
        <row r="176">
          <cell r="A176">
            <v>2963</v>
          </cell>
          <cell r="G176" t="str">
            <v>AR8P6N4L2</v>
          </cell>
        </row>
        <row r="177">
          <cell r="A177">
            <v>3074</v>
          </cell>
          <cell r="G177" t="str">
            <v>N4L2J0HYFW</v>
          </cell>
        </row>
        <row r="178">
          <cell r="A178">
            <v>4185</v>
          </cell>
          <cell r="G178" t="str">
            <v>0HYFWDUBS9</v>
          </cell>
        </row>
        <row r="179">
          <cell r="A179">
            <v>5296</v>
          </cell>
          <cell r="G179" t="str">
            <v>DUBS9Q7O5</v>
          </cell>
        </row>
        <row r="180">
          <cell r="A180">
            <v>6307</v>
          </cell>
          <cell r="G180" t="str">
            <v>Q7O5M</v>
          </cell>
        </row>
        <row r="181">
          <cell r="A181">
            <v>7418</v>
          </cell>
          <cell r="G181" t="str">
            <v>3K1IZ</v>
          </cell>
        </row>
        <row r="182">
          <cell r="A182">
            <v>8529</v>
          </cell>
          <cell r="G182" t="str">
            <v>GXEVC</v>
          </cell>
        </row>
        <row r="183">
          <cell r="A183">
            <v>9630</v>
          </cell>
          <cell r="G183" t="str">
            <v>TAR8P</v>
          </cell>
        </row>
        <row r="184">
          <cell r="A184">
            <v>1741</v>
          </cell>
          <cell r="G184" t="str">
            <v>6N4L2J</v>
          </cell>
        </row>
        <row r="185">
          <cell r="A185">
            <v>1852</v>
          </cell>
          <cell r="G185" t="str">
            <v>J0HYFWDUB</v>
          </cell>
        </row>
        <row r="186">
          <cell r="A186">
            <v>2963</v>
          </cell>
          <cell r="G186" t="str">
            <v>WDUBS9Q7O5</v>
          </cell>
        </row>
        <row r="187">
          <cell r="A187">
            <v>3074</v>
          </cell>
          <cell r="G187" t="str">
            <v>9Q7O5M3K1I</v>
          </cell>
        </row>
        <row r="188">
          <cell r="A188">
            <v>4185</v>
          </cell>
          <cell r="G188" t="str">
            <v>M3K1IZGXEV</v>
          </cell>
        </row>
        <row r="189">
          <cell r="A189">
            <v>5296</v>
          </cell>
          <cell r="G189" t="str">
            <v>ZGXEVCTAR</v>
          </cell>
        </row>
        <row r="190">
          <cell r="A190">
            <v>6307</v>
          </cell>
          <cell r="G190" t="str">
            <v>CTAR8P6N4</v>
          </cell>
        </row>
        <row r="191">
          <cell r="A191">
            <v>7418</v>
          </cell>
          <cell r="G191" t="str">
            <v>P6N4L2J0</v>
          </cell>
        </row>
        <row r="192">
          <cell r="A192">
            <v>8529</v>
          </cell>
          <cell r="G192" t="str">
            <v>2J0HYFWDU</v>
          </cell>
        </row>
        <row r="193">
          <cell r="A193">
            <v>9630</v>
          </cell>
          <cell r="G193" t="str">
            <v>FWDUBS</v>
          </cell>
        </row>
        <row r="194">
          <cell r="A194">
            <v>1741</v>
          </cell>
          <cell r="G194" t="str">
            <v>S9Q7O5</v>
          </cell>
        </row>
        <row r="195">
          <cell r="A195">
            <v>1852</v>
          </cell>
          <cell r="G195" t="str">
            <v>5M3K1I</v>
          </cell>
        </row>
        <row r="196">
          <cell r="A196">
            <v>2963</v>
          </cell>
          <cell r="G196" t="str">
            <v>IZGXEVCTAR</v>
          </cell>
        </row>
        <row r="197">
          <cell r="A197">
            <v>3074</v>
          </cell>
          <cell r="G197" t="str">
            <v>VCTAR8</v>
          </cell>
        </row>
        <row r="198">
          <cell r="A198">
            <v>4185</v>
          </cell>
          <cell r="G198" t="str">
            <v>8P6N4L</v>
          </cell>
        </row>
        <row r="199">
          <cell r="A199">
            <v>5296</v>
          </cell>
          <cell r="G199" t="str">
            <v>L2J0</v>
          </cell>
        </row>
        <row r="200">
          <cell r="A200">
            <v>6307</v>
          </cell>
          <cell r="G200" t="str">
            <v>YFWDUBS9Q</v>
          </cell>
        </row>
        <row r="201">
          <cell r="A201">
            <v>7418</v>
          </cell>
          <cell r="G201" t="str">
            <v>BS9Q7O5M</v>
          </cell>
        </row>
        <row r="202">
          <cell r="A202">
            <v>8529</v>
          </cell>
          <cell r="G202" t="str">
            <v>O5M3K1IZ</v>
          </cell>
        </row>
        <row r="203">
          <cell r="A203">
            <v>9630</v>
          </cell>
          <cell r="G203" t="str">
            <v>1IZG</v>
          </cell>
        </row>
        <row r="204">
          <cell r="A204">
            <v>1741</v>
          </cell>
          <cell r="G204" t="str">
            <v>EVCTAR8P6</v>
          </cell>
        </row>
        <row r="205">
          <cell r="A205">
            <v>1852</v>
          </cell>
          <cell r="G205" t="str">
            <v>R8P6</v>
          </cell>
        </row>
        <row r="206">
          <cell r="A206">
            <v>2963</v>
          </cell>
          <cell r="G206" t="str">
            <v>4L2J0HYFW</v>
          </cell>
        </row>
        <row r="207">
          <cell r="A207">
            <v>3074</v>
          </cell>
          <cell r="G207" t="str">
            <v>HYFW</v>
          </cell>
        </row>
        <row r="208">
          <cell r="A208">
            <v>4185</v>
          </cell>
          <cell r="G208" t="str">
            <v>UBS9Q7O5M</v>
          </cell>
        </row>
        <row r="209">
          <cell r="A209">
            <v>5296</v>
          </cell>
          <cell r="G209" t="str">
            <v>7O5M</v>
          </cell>
        </row>
        <row r="210">
          <cell r="A210">
            <v>6307</v>
          </cell>
          <cell r="G210" t="str">
            <v>K1IZGXEVC</v>
          </cell>
        </row>
        <row r="211">
          <cell r="A211">
            <v>7418</v>
          </cell>
          <cell r="G211" t="str">
            <v>XEVCTAR8</v>
          </cell>
        </row>
        <row r="212">
          <cell r="A212">
            <v>8529</v>
          </cell>
          <cell r="G212" t="str">
            <v>AR8P6N4L2</v>
          </cell>
        </row>
        <row r="213">
          <cell r="A213">
            <v>963074</v>
          </cell>
          <cell r="G213" t="str">
            <v>N4L2J0HYF</v>
          </cell>
        </row>
        <row r="214">
          <cell r="A214">
            <v>1741</v>
          </cell>
          <cell r="G214" t="str">
            <v>0HYF</v>
          </cell>
        </row>
        <row r="215">
          <cell r="A215">
            <v>1852</v>
          </cell>
          <cell r="G215" t="str">
            <v>DUBS9Q7O5</v>
          </cell>
        </row>
        <row r="216">
          <cell r="A216">
            <v>2963</v>
          </cell>
          <cell r="G216" t="str">
            <v>Q7O5M3</v>
          </cell>
        </row>
        <row r="217">
          <cell r="A217">
            <v>3074</v>
          </cell>
          <cell r="G217" t="str">
            <v>3K1I</v>
          </cell>
        </row>
        <row r="218">
          <cell r="A218">
            <v>4185</v>
          </cell>
          <cell r="G218" t="str">
            <v>GXEVCTAR8</v>
          </cell>
        </row>
        <row r="219">
          <cell r="A219">
            <v>5296</v>
          </cell>
          <cell r="G219" t="str">
            <v>TAR8P6N4L2</v>
          </cell>
        </row>
        <row r="220">
          <cell r="A220">
            <v>6307</v>
          </cell>
          <cell r="G220" t="str">
            <v>6N4L2J0H</v>
          </cell>
        </row>
        <row r="221">
          <cell r="A221">
            <v>7418</v>
          </cell>
          <cell r="G221" t="str">
            <v>J0HYF</v>
          </cell>
        </row>
        <row r="222">
          <cell r="A222">
            <v>8529</v>
          </cell>
          <cell r="G222" t="str">
            <v>WDUBS</v>
          </cell>
        </row>
        <row r="223">
          <cell r="A223">
            <v>9630</v>
          </cell>
          <cell r="G223" t="str">
            <v>9Q7O5</v>
          </cell>
        </row>
        <row r="224">
          <cell r="A224">
            <v>1741</v>
          </cell>
          <cell r="G224" t="str">
            <v>M3K1IZGXEV</v>
          </cell>
        </row>
        <row r="225">
          <cell r="A225">
            <v>1852</v>
          </cell>
          <cell r="G225" t="str">
            <v>ZGXEV</v>
          </cell>
        </row>
        <row r="226">
          <cell r="A226">
            <v>2963</v>
          </cell>
          <cell r="G226" t="str">
            <v>CTAR8</v>
          </cell>
        </row>
        <row r="227">
          <cell r="A227">
            <v>3074</v>
          </cell>
          <cell r="G227" t="str">
            <v>P6N4L2J0</v>
          </cell>
        </row>
        <row r="228">
          <cell r="A228">
            <v>4185</v>
          </cell>
          <cell r="G228" t="str">
            <v>2J0HYFWDU</v>
          </cell>
        </row>
        <row r="229">
          <cell r="A229">
            <v>5296</v>
          </cell>
          <cell r="G229" t="str">
            <v>FWDUBS9Q7</v>
          </cell>
        </row>
        <row r="230">
          <cell r="A230">
            <v>6307</v>
          </cell>
          <cell r="G230" t="str">
            <v>S9Q7O5M3K1</v>
          </cell>
        </row>
        <row r="231">
          <cell r="A231">
            <v>7418</v>
          </cell>
          <cell r="G231" t="str">
            <v>5M3K1IZGX</v>
          </cell>
        </row>
        <row r="232">
          <cell r="A232">
            <v>8529</v>
          </cell>
          <cell r="G232" t="str">
            <v>IZGXEVCTAR</v>
          </cell>
        </row>
        <row r="233">
          <cell r="A233">
            <v>9630</v>
          </cell>
          <cell r="G233" t="str">
            <v>VCTAR8P6N</v>
          </cell>
        </row>
        <row r="234">
          <cell r="A234">
            <v>1741</v>
          </cell>
          <cell r="G234" t="str">
            <v>8P6N4</v>
          </cell>
        </row>
        <row r="235">
          <cell r="A235">
            <v>1852</v>
          </cell>
          <cell r="G235" t="str">
            <v>L2J0H</v>
          </cell>
        </row>
        <row r="236">
          <cell r="A236">
            <v>2963</v>
          </cell>
          <cell r="G236" t="str">
            <v>YFWDU</v>
          </cell>
        </row>
        <row r="237">
          <cell r="A237">
            <v>3074</v>
          </cell>
          <cell r="G237" t="str">
            <v>BS9Q7</v>
          </cell>
        </row>
        <row r="238">
          <cell r="A238">
            <v>4185</v>
          </cell>
          <cell r="G238" t="str">
            <v>O5M3K1</v>
          </cell>
        </row>
        <row r="239">
          <cell r="A239">
            <v>5296</v>
          </cell>
          <cell r="G239" t="str">
            <v>1IZGXEVCT</v>
          </cell>
        </row>
        <row r="240">
          <cell r="A240">
            <v>6307</v>
          </cell>
          <cell r="G240" t="str">
            <v>EVCTAR8P6N</v>
          </cell>
        </row>
        <row r="241">
          <cell r="A241">
            <v>7418</v>
          </cell>
          <cell r="G241" t="str">
            <v>R8P6N4L2J0</v>
          </cell>
        </row>
        <row r="242">
          <cell r="A242">
            <v>8529</v>
          </cell>
          <cell r="G242" t="str">
            <v>4L2J0HYFWD</v>
          </cell>
        </row>
        <row r="243">
          <cell r="A243">
            <v>9630</v>
          </cell>
          <cell r="G243" t="str">
            <v>HYFWDUBS9</v>
          </cell>
        </row>
        <row r="244">
          <cell r="A244">
            <v>1741</v>
          </cell>
          <cell r="G244" t="str">
            <v>UBS9Q7O5M</v>
          </cell>
        </row>
        <row r="245">
          <cell r="A245">
            <v>1852</v>
          </cell>
          <cell r="G245" t="str">
            <v>7O5M3K1I</v>
          </cell>
        </row>
        <row r="246">
          <cell r="A246">
            <v>2963</v>
          </cell>
          <cell r="G246" t="str">
            <v>K1IZGX</v>
          </cell>
        </row>
        <row r="247">
          <cell r="A247">
            <v>3074</v>
          </cell>
          <cell r="G247" t="str">
            <v>XEVCTA</v>
          </cell>
        </row>
        <row r="248">
          <cell r="A248">
            <v>4185</v>
          </cell>
          <cell r="G248" t="str">
            <v>AR8P6N</v>
          </cell>
        </row>
        <row r="249">
          <cell r="A249">
            <v>5296</v>
          </cell>
          <cell r="G249" t="str">
            <v>N4L2J0HYFW</v>
          </cell>
        </row>
        <row r="250">
          <cell r="A250">
            <v>6307</v>
          </cell>
          <cell r="G250" t="str">
            <v>0HYFWD</v>
          </cell>
        </row>
        <row r="251">
          <cell r="A251">
            <v>7418</v>
          </cell>
          <cell r="G251" t="str">
            <v>DUBS9Q</v>
          </cell>
        </row>
        <row r="252">
          <cell r="A252">
            <v>8529</v>
          </cell>
          <cell r="G252" t="str">
            <v>Q7O5M3K1I</v>
          </cell>
        </row>
        <row r="253">
          <cell r="A253">
            <v>9630</v>
          </cell>
          <cell r="G253" t="str">
            <v>3K1I</v>
          </cell>
        </row>
        <row r="254">
          <cell r="A254">
            <v>1741</v>
          </cell>
          <cell r="G254" t="str">
            <v>GXEVCTAR8</v>
          </cell>
        </row>
        <row r="255">
          <cell r="A255">
            <v>1852</v>
          </cell>
          <cell r="G255" t="str">
            <v>TAR8P6N4</v>
          </cell>
        </row>
        <row r="256">
          <cell r="A256">
            <v>2963</v>
          </cell>
          <cell r="G256" t="str">
            <v>6N4L2J0</v>
          </cell>
        </row>
        <row r="257">
          <cell r="A257">
            <v>3074</v>
          </cell>
          <cell r="G257" t="str">
            <v>J0HY</v>
          </cell>
        </row>
        <row r="258">
          <cell r="A258">
            <v>4185</v>
          </cell>
          <cell r="G258" t="str">
            <v>WDUBS9Q7O</v>
          </cell>
        </row>
        <row r="259">
          <cell r="A259">
            <v>5296</v>
          </cell>
          <cell r="G259" t="str">
            <v>9Q7O</v>
          </cell>
        </row>
        <row r="260">
          <cell r="A260">
            <v>6307</v>
          </cell>
          <cell r="G260" t="str">
            <v>M3K1IZGXE</v>
          </cell>
        </row>
        <row r="261">
          <cell r="A261">
            <v>7418</v>
          </cell>
          <cell r="G261" t="str">
            <v>ZGXE</v>
          </cell>
        </row>
        <row r="262">
          <cell r="A262">
            <v>8529</v>
          </cell>
          <cell r="G262" t="str">
            <v>CTAR8P6N4</v>
          </cell>
        </row>
        <row r="263">
          <cell r="A263">
            <v>9630</v>
          </cell>
          <cell r="G263" t="str">
            <v>P6N4L2J0</v>
          </cell>
        </row>
        <row r="264">
          <cell r="A264">
            <v>1741</v>
          </cell>
          <cell r="G264" t="str">
            <v>2J0HYFW</v>
          </cell>
        </row>
        <row r="265">
          <cell r="A265">
            <v>1852</v>
          </cell>
          <cell r="G265" t="str">
            <v>FWDU</v>
          </cell>
        </row>
        <row r="266">
          <cell r="A266">
            <v>2963</v>
          </cell>
          <cell r="G266" t="str">
            <v>S9Q7O5M3K</v>
          </cell>
        </row>
        <row r="267">
          <cell r="A267">
            <v>3074</v>
          </cell>
          <cell r="G267" t="str">
            <v>5M3K</v>
          </cell>
        </row>
        <row r="268">
          <cell r="A268">
            <v>4185</v>
          </cell>
          <cell r="G268" t="str">
            <v>IZGXEVCTAR</v>
          </cell>
        </row>
        <row r="269">
          <cell r="A269">
            <v>5296</v>
          </cell>
          <cell r="G269" t="str">
            <v>VCTA</v>
          </cell>
        </row>
        <row r="270">
          <cell r="A270">
            <v>6307</v>
          </cell>
          <cell r="G270" t="str">
            <v>8P6N4L2J0</v>
          </cell>
        </row>
        <row r="271">
          <cell r="A271">
            <v>7418</v>
          </cell>
          <cell r="G271" t="str">
            <v>L2J0</v>
          </cell>
        </row>
        <row r="272">
          <cell r="A272">
            <v>8529</v>
          </cell>
          <cell r="G272" t="str">
            <v>YFWDUBS9Q</v>
          </cell>
        </row>
        <row r="273">
          <cell r="A273">
            <v>9630</v>
          </cell>
          <cell r="G273" t="str">
            <v>BS9Q</v>
          </cell>
        </row>
        <row r="274">
          <cell r="A274">
            <v>1741</v>
          </cell>
          <cell r="G274" t="str">
            <v>O5M3K1IZG</v>
          </cell>
        </row>
        <row r="275">
          <cell r="A275">
            <v>1852</v>
          </cell>
          <cell r="G275" t="str">
            <v>1IZG</v>
          </cell>
        </row>
        <row r="276">
          <cell r="A276">
            <v>2963</v>
          </cell>
          <cell r="G276" t="str">
            <v>EVCTAR</v>
          </cell>
        </row>
        <row r="277">
          <cell r="A277">
            <v>3074</v>
          </cell>
          <cell r="G277" t="str">
            <v>R8P6</v>
          </cell>
        </row>
        <row r="278">
          <cell r="A278">
            <v>4185</v>
          </cell>
          <cell r="G278" t="str">
            <v>4L2J0HYF</v>
          </cell>
        </row>
        <row r="279">
          <cell r="A279">
            <v>5296</v>
          </cell>
          <cell r="G279" t="str">
            <v>HYFWDUBS9</v>
          </cell>
        </row>
        <row r="280">
          <cell r="A280">
            <v>6307</v>
          </cell>
          <cell r="G280" t="str">
            <v>UBS9Q7O</v>
          </cell>
        </row>
        <row r="281">
          <cell r="A281">
            <v>7418</v>
          </cell>
          <cell r="G281" t="str">
            <v>7O5M3</v>
          </cell>
        </row>
        <row r="282">
          <cell r="A282">
            <v>8529</v>
          </cell>
          <cell r="G282" t="str">
            <v>K1IZG</v>
          </cell>
        </row>
        <row r="283">
          <cell r="A283">
            <v>9630</v>
          </cell>
          <cell r="G283" t="str">
            <v>XEVCT</v>
          </cell>
        </row>
        <row r="284">
          <cell r="A284">
            <v>1741</v>
          </cell>
          <cell r="G284" t="str">
            <v>AR8P6N4L2</v>
          </cell>
        </row>
        <row r="285">
          <cell r="A285">
            <v>1852</v>
          </cell>
          <cell r="G285" t="str">
            <v>N4L2J</v>
          </cell>
        </row>
        <row r="286">
          <cell r="A286">
            <v>2963</v>
          </cell>
          <cell r="G286" t="str">
            <v>0HYFW</v>
          </cell>
        </row>
        <row r="287">
          <cell r="A287">
            <v>3074</v>
          </cell>
          <cell r="G287" t="str">
            <v>DUBS9Q7</v>
          </cell>
        </row>
        <row r="288">
          <cell r="A288">
            <v>4185</v>
          </cell>
          <cell r="G288" t="str">
            <v>Q7O5M3K1</v>
          </cell>
        </row>
        <row r="289">
          <cell r="A289">
            <v>5296</v>
          </cell>
          <cell r="G289" t="str">
            <v>3K1IZGXE</v>
          </cell>
        </row>
        <row r="290">
          <cell r="A290">
            <v>6307</v>
          </cell>
          <cell r="G290" t="str">
            <v>GXEVCTAR8</v>
          </cell>
        </row>
        <row r="291">
          <cell r="A291">
            <v>7418</v>
          </cell>
          <cell r="G291" t="str">
            <v>TAR8P6N4</v>
          </cell>
        </row>
        <row r="292">
          <cell r="A292">
            <v>8529</v>
          </cell>
          <cell r="G292" t="str">
            <v>6N4L2J0HY</v>
          </cell>
        </row>
        <row r="293">
          <cell r="A293">
            <v>9630</v>
          </cell>
          <cell r="G293" t="str">
            <v>J0HYFWDUB</v>
          </cell>
        </row>
        <row r="294">
          <cell r="A294">
            <v>1741</v>
          </cell>
          <cell r="G294" t="str">
            <v>WDUBS</v>
          </cell>
        </row>
        <row r="295">
          <cell r="A295">
            <v>1852</v>
          </cell>
          <cell r="G295" t="str">
            <v>9Q7O5</v>
          </cell>
        </row>
        <row r="296">
          <cell r="A296">
            <v>2963</v>
          </cell>
          <cell r="G296" t="str">
            <v>M3K1I</v>
          </cell>
        </row>
        <row r="297">
          <cell r="A297">
            <v>3074</v>
          </cell>
          <cell r="G297" t="str">
            <v>ZGXEV</v>
          </cell>
        </row>
        <row r="298">
          <cell r="A298">
            <v>4185</v>
          </cell>
          <cell r="G298" t="str">
            <v>CTAR8P</v>
          </cell>
        </row>
        <row r="299">
          <cell r="A299">
            <v>5296</v>
          </cell>
          <cell r="G299" t="str">
            <v>P6N4L2J0</v>
          </cell>
        </row>
        <row r="300">
          <cell r="A300">
            <v>6307</v>
          </cell>
          <cell r="G300" t="str">
            <v>2J0HYFWDU</v>
          </cell>
        </row>
        <row r="301">
          <cell r="A301">
            <v>7418</v>
          </cell>
          <cell r="G301" t="str">
            <v>FWDUBS9Q7</v>
          </cell>
        </row>
        <row r="302">
          <cell r="A302">
            <v>8529</v>
          </cell>
          <cell r="G302" t="str">
            <v>S9Q7O5M3K</v>
          </cell>
        </row>
        <row r="303">
          <cell r="A303">
            <v>9630</v>
          </cell>
          <cell r="G303" t="str">
            <v>5M3K1IZG</v>
          </cell>
        </row>
        <row r="304">
          <cell r="A304">
            <v>1741</v>
          </cell>
          <cell r="G304" t="str">
            <v>IZGXEVCT</v>
          </cell>
        </row>
        <row r="305">
          <cell r="A305">
            <v>1852</v>
          </cell>
          <cell r="G305" t="str">
            <v>VCTAR8P</v>
          </cell>
        </row>
        <row r="306">
          <cell r="A306">
            <v>2963</v>
          </cell>
          <cell r="G306" t="str">
            <v>8P6N4L</v>
          </cell>
        </row>
        <row r="307">
          <cell r="A307">
            <v>3074</v>
          </cell>
          <cell r="G307" t="str">
            <v>L2J0HY</v>
          </cell>
        </row>
        <row r="308">
          <cell r="A308">
            <v>4185</v>
          </cell>
          <cell r="G308" t="str">
            <v>YFWDUB</v>
          </cell>
        </row>
        <row r="309">
          <cell r="A309">
            <v>5296</v>
          </cell>
          <cell r="G309" t="str">
            <v>BS9Q7O5M3</v>
          </cell>
        </row>
        <row r="310">
          <cell r="A310">
            <v>6307</v>
          </cell>
          <cell r="G310" t="str">
            <v>O5M3K1</v>
          </cell>
        </row>
        <row r="311">
          <cell r="A311">
            <v>7418</v>
          </cell>
          <cell r="G311" t="str">
            <v>1IZGXE</v>
          </cell>
        </row>
        <row r="312">
          <cell r="A312">
            <v>8529</v>
          </cell>
          <cell r="G312" t="str">
            <v>EVCTAR8P6</v>
          </cell>
        </row>
        <row r="313">
          <cell r="A313">
            <v>9630</v>
          </cell>
          <cell r="G313" t="str">
            <v>R8P6</v>
          </cell>
        </row>
        <row r="314">
          <cell r="A314">
            <v>1741</v>
          </cell>
          <cell r="G314" t="str">
            <v>4L2J0HYFW</v>
          </cell>
        </row>
        <row r="315">
          <cell r="A315">
            <v>1852</v>
          </cell>
          <cell r="G315" t="str">
            <v>HYFWDUBS</v>
          </cell>
        </row>
        <row r="316">
          <cell r="A316">
            <v>2963</v>
          </cell>
          <cell r="G316" t="str">
            <v>UBS9Q7O5M</v>
          </cell>
        </row>
        <row r="317">
          <cell r="A317">
            <v>3074</v>
          </cell>
          <cell r="G317" t="str">
            <v>7O5M</v>
          </cell>
        </row>
        <row r="318">
          <cell r="A318">
            <v>4185</v>
          </cell>
          <cell r="G318" t="str">
            <v>K1IZGXEVC</v>
          </cell>
        </row>
        <row r="319">
          <cell r="A319">
            <v>5296</v>
          </cell>
          <cell r="G319" t="str">
            <v>XEVC</v>
          </cell>
        </row>
        <row r="320">
          <cell r="A320">
            <v>6307</v>
          </cell>
          <cell r="G320" t="str">
            <v>AR8P6N4L2</v>
          </cell>
        </row>
        <row r="321">
          <cell r="A321">
            <v>7418</v>
          </cell>
          <cell r="G321" t="str">
            <v>N4L2</v>
          </cell>
        </row>
        <row r="322">
          <cell r="A322">
            <v>8529</v>
          </cell>
          <cell r="G322" t="str">
            <v>0HYFWDUBS</v>
          </cell>
        </row>
        <row r="323">
          <cell r="A323">
            <v>9630</v>
          </cell>
          <cell r="G323" t="str">
            <v>DUBS9Q7O</v>
          </cell>
        </row>
        <row r="324">
          <cell r="A324">
            <v>1741</v>
          </cell>
          <cell r="G324" t="str">
            <v>Q7O5M3K1I</v>
          </cell>
        </row>
        <row r="325">
          <cell r="A325">
            <v>1852</v>
          </cell>
          <cell r="G325" t="str">
            <v>3K1I</v>
          </cell>
        </row>
        <row r="326">
          <cell r="A326">
            <v>2963</v>
          </cell>
          <cell r="G326" t="str">
            <v>GXEVCTAR</v>
          </cell>
        </row>
        <row r="327">
          <cell r="A327">
            <v>3074</v>
          </cell>
          <cell r="G327" t="str">
            <v>TAR8</v>
          </cell>
        </row>
        <row r="328">
          <cell r="A328">
            <v>4185</v>
          </cell>
          <cell r="G328" t="str">
            <v>6N4L2J0H</v>
          </cell>
        </row>
        <row r="329">
          <cell r="A329">
            <v>5296</v>
          </cell>
          <cell r="G329" t="str">
            <v>J0HYFW</v>
          </cell>
        </row>
        <row r="330">
          <cell r="A330">
            <v>6307</v>
          </cell>
          <cell r="G330" t="str">
            <v>WDUB</v>
          </cell>
        </row>
        <row r="331">
          <cell r="A331">
            <v>7418</v>
          </cell>
          <cell r="G331" t="str">
            <v>9Q7O5M3K</v>
          </cell>
        </row>
        <row r="332">
          <cell r="A332">
            <v>8529</v>
          </cell>
          <cell r="G332" t="str">
            <v>M3K1IZGXE</v>
          </cell>
        </row>
        <row r="333">
          <cell r="A333">
            <v>9630</v>
          </cell>
          <cell r="G333" t="str">
            <v>ZGXEVCT</v>
          </cell>
        </row>
        <row r="334">
          <cell r="A334">
            <v>1741</v>
          </cell>
          <cell r="G334" t="str">
            <v>CTAR8</v>
          </cell>
        </row>
        <row r="335">
          <cell r="A335">
            <v>1852</v>
          </cell>
          <cell r="G335" t="str">
            <v>P6N4L</v>
          </cell>
        </row>
        <row r="336">
          <cell r="A336">
            <v>2963</v>
          </cell>
          <cell r="G336" t="str">
            <v>2J0HY</v>
          </cell>
        </row>
        <row r="337">
          <cell r="A337">
            <v>3074</v>
          </cell>
          <cell r="G337" t="str">
            <v>FWDUBS9Q7</v>
          </cell>
        </row>
        <row r="338">
          <cell r="A338">
            <v>4185</v>
          </cell>
          <cell r="G338" t="str">
            <v>S9Q7O</v>
          </cell>
        </row>
        <row r="339">
          <cell r="A339">
            <v>5296</v>
          </cell>
          <cell r="G339" t="str">
            <v>5M3K1</v>
          </cell>
        </row>
        <row r="340">
          <cell r="A340">
            <v>6307</v>
          </cell>
          <cell r="G340" t="str">
            <v>IZGXEVC</v>
          </cell>
        </row>
        <row r="341">
          <cell r="A341">
            <v>7418</v>
          </cell>
          <cell r="G341" t="str">
            <v>VCTAR8P6</v>
          </cell>
        </row>
        <row r="342">
          <cell r="A342">
            <v>8529</v>
          </cell>
          <cell r="G342" t="str">
            <v>8P6N4L2J</v>
          </cell>
        </row>
        <row r="343">
          <cell r="A343">
            <v>9630</v>
          </cell>
          <cell r="G343" t="str">
            <v>L2J0HYFWD</v>
          </cell>
        </row>
        <row r="344">
          <cell r="A344">
            <v>1741</v>
          </cell>
          <cell r="G344" t="str">
            <v>YFWDUBS9</v>
          </cell>
        </row>
        <row r="345">
          <cell r="A345">
            <v>1852</v>
          </cell>
          <cell r="G345" t="str">
            <v>BS9Q7O5M3</v>
          </cell>
        </row>
        <row r="346">
          <cell r="A346">
            <v>2963</v>
          </cell>
          <cell r="G346" t="str">
            <v>O5M3K1IZG</v>
          </cell>
        </row>
        <row r="347">
          <cell r="A347">
            <v>3074</v>
          </cell>
          <cell r="G347" t="str">
            <v>1IZGX</v>
          </cell>
        </row>
        <row r="348">
          <cell r="A348">
            <v>4185</v>
          </cell>
          <cell r="G348" t="str">
            <v>EVCTA</v>
          </cell>
        </row>
        <row r="349">
          <cell r="A349">
            <v>5296</v>
          </cell>
          <cell r="G349" t="str">
            <v>R8P6N</v>
          </cell>
        </row>
        <row r="350">
          <cell r="A350">
            <v>6307</v>
          </cell>
          <cell r="G350" t="str">
            <v>4L2J0</v>
          </cell>
        </row>
        <row r="351">
          <cell r="A351">
            <v>7418</v>
          </cell>
          <cell r="G351" t="str">
            <v>HYFWDU</v>
          </cell>
        </row>
        <row r="352">
          <cell r="A352">
            <v>8529</v>
          </cell>
          <cell r="G352" t="str">
            <v>UBS9Q7O5</v>
          </cell>
        </row>
        <row r="353">
          <cell r="A353">
            <v>9630</v>
          </cell>
          <cell r="G353" t="str">
            <v>7O5M3K1IZ</v>
          </cell>
        </row>
        <row r="354">
          <cell r="A354">
            <v>1741</v>
          </cell>
          <cell r="G354" t="str">
            <v>K1IZGXEVC</v>
          </cell>
        </row>
        <row r="355">
          <cell r="A355">
            <v>1852</v>
          </cell>
          <cell r="G355" t="str">
            <v>XEVCTAR8P</v>
          </cell>
        </row>
        <row r="356">
          <cell r="A356">
            <v>2963</v>
          </cell>
          <cell r="G356" t="str">
            <v>AR8P6N4L</v>
          </cell>
        </row>
        <row r="357">
          <cell r="A357">
            <v>3074</v>
          </cell>
          <cell r="G357" t="str">
            <v>N4L2J0HY</v>
          </cell>
        </row>
        <row r="358">
          <cell r="A358">
            <v>4185</v>
          </cell>
          <cell r="G358" t="str">
            <v>0HYFWDU</v>
          </cell>
        </row>
        <row r="359">
          <cell r="A359">
            <v>5296</v>
          </cell>
          <cell r="G359" t="str">
            <v>DUBS9Q7O5</v>
          </cell>
        </row>
        <row r="360">
          <cell r="A360">
            <v>6307</v>
          </cell>
          <cell r="G360" t="str">
            <v>Q7O5M3</v>
          </cell>
        </row>
        <row r="361">
          <cell r="A361">
            <v>7418</v>
          </cell>
          <cell r="G361" t="str">
            <v>3K1IZG</v>
          </cell>
        </row>
        <row r="362">
          <cell r="A362">
            <v>8529</v>
          </cell>
          <cell r="G362" t="str">
            <v>GXEVCT</v>
          </cell>
        </row>
        <row r="363">
          <cell r="A363">
            <v>9630</v>
          </cell>
          <cell r="G363" t="str">
            <v>TAR8P6N4L</v>
          </cell>
        </row>
        <row r="364">
          <cell r="A364">
            <v>1741</v>
          </cell>
          <cell r="G364" t="str">
            <v>6N4L2J</v>
          </cell>
        </row>
        <row r="365">
          <cell r="A365">
            <v>1852</v>
          </cell>
          <cell r="G365" t="str">
            <v>J0HYFW</v>
          </cell>
        </row>
        <row r="366">
          <cell r="A366">
            <v>2963</v>
          </cell>
          <cell r="G366" t="str">
            <v>WDUBS9Q7O</v>
          </cell>
        </row>
        <row r="367">
          <cell r="A367">
            <v>3074</v>
          </cell>
          <cell r="G367" t="str">
            <v>9Q7O</v>
          </cell>
        </row>
        <row r="368">
          <cell r="A368">
            <v>4185</v>
          </cell>
          <cell r="G368" t="str">
            <v>M3K1IZGXE</v>
          </cell>
        </row>
        <row r="369">
          <cell r="A369">
            <v>5296</v>
          </cell>
          <cell r="G369" t="str">
            <v>ZGXEVCTA</v>
          </cell>
        </row>
        <row r="370">
          <cell r="A370">
            <v>6307</v>
          </cell>
          <cell r="G370" t="str">
            <v>CTAR8P6N4</v>
          </cell>
        </row>
        <row r="371">
          <cell r="A371">
            <v>7418</v>
          </cell>
          <cell r="G371" t="str">
            <v>P6N4</v>
          </cell>
        </row>
        <row r="372">
          <cell r="A372">
            <v>8529</v>
          </cell>
          <cell r="G372" t="str">
            <v>2J0HYFWD</v>
          </cell>
        </row>
        <row r="373">
          <cell r="A373">
            <v>9630</v>
          </cell>
          <cell r="G373" t="str">
            <v>FWDU</v>
          </cell>
        </row>
        <row r="374">
          <cell r="A374">
            <v>1741</v>
          </cell>
          <cell r="G374" t="str">
            <v>S9Q7O5M3K1</v>
          </cell>
        </row>
        <row r="375">
          <cell r="A375">
            <v>1852</v>
          </cell>
          <cell r="G375" t="str">
            <v>5M3K</v>
          </cell>
        </row>
        <row r="376">
          <cell r="A376">
            <v>2963</v>
          </cell>
          <cell r="G376" t="str">
            <v>IZGXEVCTA</v>
          </cell>
        </row>
        <row r="377">
          <cell r="A377">
            <v>3074</v>
          </cell>
          <cell r="G377" t="str">
            <v>VCTA</v>
          </cell>
        </row>
        <row r="378">
          <cell r="A378">
            <v>4185</v>
          </cell>
          <cell r="G378" t="str">
            <v>8P6N4L</v>
          </cell>
        </row>
        <row r="379">
          <cell r="A379">
            <v>5296</v>
          </cell>
          <cell r="G379" t="str">
            <v>L2J0</v>
          </cell>
        </row>
        <row r="380">
          <cell r="A380">
            <v>6307</v>
          </cell>
          <cell r="G380" t="str">
            <v>YFWDUBS9Q</v>
          </cell>
        </row>
        <row r="381">
          <cell r="A381">
            <v>7418</v>
          </cell>
          <cell r="G381" t="str">
            <v>BS9Q7O5M3K</v>
          </cell>
        </row>
        <row r="382">
          <cell r="A382">
            <v>8529</v>
          </cell>
          <cell r="G382" t="str">
            <v>O5M3K1IZ</v>
          </cell>
        </row>
        <row r="383">
          <cell r="A383">
            <v>9630</v>
          </cell>
          <cell r="G383" t="str">
            <v>1IZGX</v>
          </cell>
        </row>
        <row r="384">
          <cell r="A384">
            <v>1741</v>
          </cell>
          <cell r="G384" t="str">
            <v>EVCTA</v>
          </cell>
        </row>
        <row r="385">
          <cell r="A385">
            <v>1852</v>
          </cell>
          <cell r="G385" t="str">
            <v>R8P6N</v>
          </cell>
        </row>
        <row r="386">
          <cell r="A386">
            <v>2963</v>
          </cell>
          <cell r="G386" t="str">
            <v>4L2J0HYFWD</v>
          </cell>
        </row>
        <row r="387">
          <cell r="A387">
            <v>3074</v>
          </cell>
          <cell r="G387" t="str">
            <v>HYFWD</v>
          </cell>
        </row>
        <row r="388">
          <cell r="A388">
            <v>4185</v>
          </cell>
          <cell r="G388" t="str">
            <v>UBS9Q</v>
          </cell>
        </row>
        <row r="389">
          <cell r="A389">
            <v>5296</v>
          </cell>
          <cell r="G389" t="str">
            <v>7O5M3K1I</v>
          </cell>
        </row>
        <row r="390">
          <cell r="A390">
            <v>6307</v>
          </cell>
          <cell r="G390" t="str">
            <v>K1IZGXEVC</v>
          </cell>
        </row>
        <row r="391">
          <cell r="A391">
            <v>7418</v>
          </cell>
          <cell r="G391" t="str">
            <v>XEVCTAR8P</v>
          </cell>
        </row>
        <row r="392">
          <cell r="A392">
            <v>8529</v>
          </cell>
          <cell r="G392" t="str">
            <v>AR8P6N4L2J</v>
          </cell>
        </row>
        <row r="393">
          <cell r="A393">
            <v>9630</v>
          </cell>
          <cell r="G393" t="str">
            <v>N4L2J0HYF</v>
          </cell>
        </row>
        <row r="394">
          <cell r="A394">
            <v>1741</v>
          </cell>
          <cell r="G394" t="str">
            <v>0HYFWDUBS9</v>
          </cell>
        </row>
        <row r="395">
          <cell r="A395">
            <v>1852</v>
          </cell>
          <cell r="G395" t="str">
            <v>DUBS9Q7O5</v>
          </cell>
        </row>
        <row r="396">
          <cell r="A396">
            <v>2963</v>
          </cell>
          <cell r="G396" t="str">
            <v>Q7O5M</v>
          </cell>
        </row>
        <row r="397">
          <cell r="A397">
            <v>3074</v>
          </cell>
          <cell r="G397" t="str">
            <v>3K1IZ</v>
          </cell>
        </row>
        <row r="398">
          <cell r="A398">
            <v>4185</v>
          </cell>
          <cell r="G398" t="str">
            <v>GXEVC</v>
          </cell>
        </row>
        <row r="399">
          <cell r="A399">
            <v>5296</v>
          </cell>
          <cell r="G399" t="str">
            <v>TAR8P</v>
          </cell>
        </row>
        <row r="400">
          <cell r="A400">
            <v>6307</v>
          </cell>
          <cell r="G400" t="str">
            <v>6N4L2J</v>
          </cell>
        </row>
        <row r="401">
          <cell r="A401">
            <v>7418</v>
          </cell>
          <cell r="G401" t="str">
            <v>J0HYFWDUB</v>
          </cell>
        </row>
        <row r="402">
          <cell r="A402">
            <v>8529</v>
          </cell>
          <cell r="G402" t="str">
            <v>WDUBS9Q7O5</v>
          </cell>
        </row>
        <row r="403">
          <cell r="A403">
            <v>9630</v>
          </cell>
          <cell r="G403" t="str">
            <v>9Q7O5M3K1I</v>
          </cell>
        </row>
        <row r="404">
          <cell r="A404">
            <v>1741</v>
          </cell>
          <cell r="G404" t="str">
            <v>M3K1IZGXEV</v>
          </cell>
        </row>
        <row r="405">
          <cell r="A405">
            <v>1852</v>
          </cell>
          <cell r="G405" t="str">
            <v>ZGXEVCTAR</v>
          </cell>
        </row>
        <row r="406">
          <cell r="A406">
            <v>2963</v>
          </cell>
          <cell r="G406" t="str">
            <v>CTAR8P6N4</v>
          </cell>
        </row>
        <row r="407">
          <cell r="A407">
            <v>3074</v>
          </cell>
          <cell r="G407" t="str">
            <v>P6N4L2J0</v>
          </cell>
        </row>
        <row r="408">
          <cell r="A408">
            <v>4185</v>
          </cell>
          <cell r="G408" t="str">
            <v>2J0HYF</v>
          </cell>
        </row>
        <row r="409">
          <cell r="A409">
            <v>5296</v>
          </cell>
          <cell r="G409" t="str">
            <v>FWDUBS</v>
          </cell>
        </row>
        <row r="410">
          <cell r="A410">
            <v>6307</v>
          </cell>
          <cell r="G410" t="str">
            <v>S9Q7O5</v>
          </cell>
        </row>
        <row r="411">
          <cell r="A411">
            <v>7418</v>
          </cell>
          <cell r="G411" t="str">
            <v>5M3K1IZGXE</v>
          </cell>
        </row>
        <row r="412">
          <cell r="A412">
            <v>8529</v>
          </cell>
          <cell r="G412" t="str">
            <v>IZGXEV</v>
          </cell>
        </row>
        <row r="413">
          <cell r="A413">
            <v>9630</v>
          </cell>
          <cell r="G413" t="str">
            <v>VCTAR8</v>
          </cell>
        </row>
        <row r="414">
          <cell r="A414">
            <v>1741</v>
          </cell>
          <cell r="G414" t="str">
            <v>8P6N4L2J0</v>
          </cell>
        </row>
        <row r="415">
          <cell r="A415">
            <v>1852</v>
          </cell>
          <cell r="G415" t="str">
            <v>L2J0</v>
          </cell>
        </row>
        <row r="416">
          <cell r="A416">
            <v>2963</v>
          </cell>
          <cell r="G416" t="str">
            <v>YFWDUBS9Q</v>
          </cell>
        </row>
        <row r="417">
          <cell r="A417">
            <v>3074</v>
          </cell>
          <cell r="G417" t="str">
            <v>BS9Q7O5M</v>
          </cell>
        </row>
        <row r="418">
          <cell r="A418">
            <v>4185</v>
          </cell>
          <cell r="G418" t="str">
            <v>O5M3K1IZG</v>
          </cell>
        </row>
        <row r="419">
          <cell r="A419">
            <v>5296</v>
          </cell>
          <cell r="G419" t="str">
            <v>1IZG</v>
          </cell>
        </row>
        <row r="420">
          <cell r="A420">
            <v>6307</v>
          </cell>
          <cell r="G420" t="str">
            <v>EVCTAR8P6</v>
          </cell>
        </row>
        <row r="421">
          <cell r="A421">
            <v>7418</v>
          </cell>
          <cell r="G421" t="str">
            <v>R8P6</v>
          </cell>
        </row>
        <row r="422">
          <cell r="A422">
            <v>8529</v>
          </cell>
          <cell r="G422" t="str">
            <v>4L2J0HYFW</v>
          </cell>
        </row>
        <row r="423">
          <cell r="A423">
            <v>9630</v>
          </cell>
          <cell r="G423" t="str">
            <v>HYFWDUBS</v>
          </cell>
        </row>
        <row r="424">
          <cell r="A424">
            <v>1741</v>
          </cell>
          <cell r="G424" t="str">
            <v>UBS9Q7O5</v>
          </cell>
        </row>
        <row r="425">
          <cell r="A425">
            <v>1852</v>
          </cell>
          <cell r="G425" t="str">
            <v>7O5M</v>
          </cell>
        </row>
        <row r="426">
          <cell r="A426">
            <v>2963</v>
          </cell>
          <cell r="G426" t="str">
            <v>K1IZGXEV</v>
          </cell>
        </row>
        <row r="427">
          <cell r="A427">
            <v>3074</v>
          </cell>
          <cell r="G427" t="str">
            <v>XEVC</v>
          </cell>
        </row>
        <row r="428">
          <cell r="A428">
            <v>4185</v>
          </cell>
          <cell r="G428" t="str">
            <v>AR8P6N4L2J</v>
          </cell>
        </row>
        <row r="429">
          <cell r="A429">
            <v>5296</v>
          </cell>
          <cell r="G429" t="str">
            <v>N4L2</v>
          </cell>
        </row>
        <row r="430">
          <cell r="A430">
            <v>6307</v>
          </cell>
          <cell r="G430" t="str">
            <v>0HYFWDUBS</v>
          </cell>
        </row>
        <row r="431">
          <cell r="A431">
            <v>7418</v>
          </cell>
          <cell r="G431" t="str">
            <v>DUBS9Q7O</v>
          </cell>
        </row>
        <row r="432">
          <cell r="A432">
            <v>8529</v>
          </cell>
          <cell r="G432" t="str">
            <v>Q7O5M3K1</v>
          </cell>
        </row>
        <row r="433">
          <cell r="A433">
            <v>9630</v>
          </cell>
          <cell r="G433" t="str">
            <v>3K1I</v>
          </cell>
        </row>
        <row r="434">
          <cell r="A434">
            <v>1741</v>
          </cell>
          <cell r="G434" t="str">
            <v>GXEVCTAR8</v>
          </cell>
        </row>
        <row r="435">
          <cell r="A435">
            <v>1852</v>
          </cell>
          <cell r="G435" t="str">
            <v>TAR8</v>
          </cell>
        </row>
        <row r="436">
          <cell r="A436">
            <v>2963</v>
          </cell>
          <cell r="G436" t="str">
            <v>6N4L2J0HY</v>
          </cell>
        </row>
        <row r="437">
          <cell r="A437">
            <v>3074</v>
          </cell>
          <cell r="G437" t="str">
            <v>J0HY</v>
          </cell>
        </row>
        <row r="438">
          <cell r="A438">
            <v>4185</v>
          </cell>
          <cell r="G438" t="str">
            <v>WDUBS9</v>
          </cell>
        </row>
        <row r="439">
          <cell r="A439">
            <v>5296</v>
          </cell>
          <cell r="G439" t="str">
            <v>9Q7O</v>
          </cell>
        </row>
        <row r="440">
          <cell r="A440">
            <v>6307</v>
          </cell>
          <cell r="G440" t="str">
            <v>M3K1IZGXE</v>
          </cell>
        </row>
        <row r="441">
          <cell r="A441">
            <v>7418</v>
          </cell>
          <cell r="G441" t="str">
            <v>ZGXEVCTAR8</v>
          </cell>
        </row>
        <row r="442">
          <cell r="A442">
            <v>8529</v>
          </cell>
          <cell r="G442" t="str">
            <v>CTAR8P6N</v>
          </cell>
        </row>
        <row r="443">
          <cell r="A443">
            <v>9630</v>
          </cell>
          <cell r="G443" t="str">
            <v>P6N4L</v>
          </cell>
        </row>
        <row r="444">
          <cell r="A444">
            <v>1741</v>
          </cell>
          <cell r="G444" t="str">
            <v>2J0HY</v>
          </cell>
        </row>
        <row r="445">
          <cell r="A445">
            <v>1852</v>
          </cell>
          <cell r="G445" t="str">
            <v>FWDUB</v>
          </cell>
        </row>
        <row r="446">
          <cell r="A446">
            <v>2963</v>
          </cell>
          <cell r="G446" t="str">
            <v>S9Q7O5M3K1IZ</v>
          </cell>
        </row>
        <row r="447">
          <cell r="A447">
            <v>3074</v>
          </cell>
          <cell r="G447" t="str">
            <v>5M3K1</v>
          </cell>
        </row>
        <row r="448">
          <cell r="A448">
            <v>4185</v>
          </cell>
          <cell r="G448" t="str">
            <v>IZGXE</v>
          </cell>
        </row>
        <row r="449">
          <cell r="A449">
            <v>5296</v>
          </cell>
          <cell r="G449" t="str">
            <v>VCTAR8P6</v>
          </cell>
        </row>
        <row r="450">
          <cell r="A450">
            <v>6307</v>
          </cell>
          <cell r="G450" t="str">
            <v>8P6N4L2J0</v>
          </cell>
        </row>
        <row r="451">
          <cell r="A451">
            <v>7418</v>
          </cell>
          <cell r="G451" t="str">
            <v>L2J0HYFWD</v>
          </cell>
        </row>
        <row r="452">
          <cell r="A452">
            <v>8529</v>
          </cell>
          <cell r="G452" t="str">
            <v>YFWDUBS9Q</v>
          </cell>
        </row>
        <row r="453">
          <cell r="A453">
            <v>9630</v>
          </cell>
          <cell r="G453" t="str">
            <v>BS9Q7O5M3K</v>
          </cell>
        </row>
        <row r="454">
          <cell r="A454">
            <v>1741</v>
          </cell>
          <cell r="G454" t="str">
            <v>O5M3K1IZGX</v>
          </cell>
        </row>
        <row r="455">
          <cell r="A455">
            <v>1852</v>
          </cell>
          <cell r="G455" t="str">
            <v>1IZGX</v>
          </cell>
        </row>
        <row r="456">
          <cell r="A456">
            <v>2963</v>
          </cell>
          <cell r="G456" t="str">
            <v>EVCTA</v>
          </cell>
        </row>
        <row r="457">
          <cell r="A457">
            <v>3074</v>
          </cell>
          <cell r="G457" t="str">
            <v>R8P6N</v>
          </cell>
        </row>
        <row r="458">
          <cell r="A458">
            <v>4185</v>
          </cell>
          <cell r="G458" t="str">
            <v>4L2J0</v>
          </cell>
        </row>
        <row r="459">
          <cell r="A459">
            <v>5296</v>
          </cell>
          <cell r="G459" t="str">
            <v>HYFWDU</v>
          </cell>
        </row>
        <row r="460">
          <cell r="A460">
            <v>6307</v>
          </cell>
          <cell r="G460" t="str">
            <v>UBS9Q7O5M</v>
          </cell>
        </row>
        <row r="461">
          <cell r="A461">
            <v>7418</v>
          </cell>
          <cell r="G461" t="str">
            <v>7O5M3K1IZG</v>
          </cell>
        </row>
        <row r="462">
          <cell r="A462">
            <v>8529</v>
          </cell>
          <cell r="G462" t="str">
            <v>K1IZGXEVCT</v>
          </cell>
        </row>
        <row r="463">
          <cell r="A463">
            <v>9630</v>
          </cell>
          <cell r="G463" t="str">
            <v>XEVCTAR8P6</v>
          </cell>
        </row>
        <row r="464">
          <cell r="A464">
            <v>1741</v>
          </cell>
          <cell r="G464" t="str">
            <v>AR8P6N4L2</v>
          </cell>
        </row>
        <row r="465">
          <cell r="A465">
            <v>1852</v>
          </cell>
          <cell r="G465" t="str">
            <v>N4L2J0HYF</v>
          </cell>
        </row>
        <row r="466">
          <cell r="A466">
            <v>2963</v>
          </cell>
          <cell r="G466" t="str">
            <v>0HYFWDUB</v>
          </cell>
        </row>
        <row r="467">
          <cell r="A467">
            <v>3074</v>
          </cell>
          <cell r="G467" t="str">
            <v>DUBS9Q7O5</v>
          </cell>
        </row>
        <row r="468">
          <cell r="A468">
            <v>4185</v>
          </cell>
          <cell r="G468" t="str">
            <v>Q7O5M3</v>
          </cell>
        </row>
        <row r="469">
          <cell r="A469">
            <v>5296</v>
          </cell>
          <cell r="G469" t="str">
            <v>3K1IZG</v>
          </cell>
        </row>
        <row r="470">
          <cell r="A470">
            <v>6307</v>
          </cell>
          <cell r="G470" t="str">
            <v>GXEVCT</v>
          </cell>
        </row>
        <row r="471">
          <cell r="A471">
            <v>7418</v>
          </cell>
          <cell r="G471" t="str">
            <v>TAR8P6N4L2J0</v>
          </cell>
        </row>
        <row r="472">
          <cell r="A472">
            <v>8529</v>
          </cell>
          <cell r="G472" t="str">
            <v>6N4L2J</v>
          </cell>
        </row>
        <row r="473">
          <cell r="A473">
            <v>9630</v>
          </cell>
          <cell r="G473" t="str">
            <v>J0HYFW</v>
          </cell>
        </row>
        <row r="474">
          <cell r="A474">
            <v>1741</v>
          </cell>
          <cell r="G474" t="str">
            <v>WDUB</v>
          </cell>
        </row>
        <row r="475">
          <cell r="A475">
            <v>1852</v>
          </cell>
          <cell r="G475" t="str">
            <v>9Q7O5M3K1</v>
          </cell>
        </row>
        <row r="476">
          <cell r="A476">
            <v>2963</v>
          </cell>
          <cell r="G476" t="str">
            <v>M3K1IZGX</v>
          </cell>
        </row>
        <row r="477">
          <cell r="A477">
            <v>3074</v>
          </cell>
          <cell r="G477" t="str">
            <v>ZGXEVCT</v>
          </cell>
        </row>
        <row r="478">
          <cell r="A478">
            <v>4185</v>
          </cell>
          <cell r="G478" t="str">
            <v>CTAR</v>
          </cell>
        </row>
        <row r="479">
          <cell r="A479">
            <v>5296</v>
          </cell>
          <cell r="G479" t="str">
            <v>P6N4L2J0H</v>
          </cell>
        </row>
        <row r="480">
          <cell r="A480">
            <v>6307</v>
          </cell>
          <cell r="G480" t="str">
            <v>2J0H</v>
          </cell>
        </row>
        <row r="481">
          <cell r="A481">
            <v>7418</v>
          </cell>
          <cell r="G481" t="str">
            <v>FWDUBS9Q7O</v>
          </cell>
        </row>
        <row r="482">
          <cell r="A482">
            <v>8529</v>
          </cell>
          <cell r="G482" t="str">
            <v>S9Q7</v>
          </cell>
        </row>
        <row r="483">
          <cell r="A483">
            <v>9630</v>
          </cell>
          <cell r="G483" t="str">
            <v>5M3K1IZGX</v>
          </cell>
        </row>
        <row r="484">
          <cell r="A484">
            <v>1741</v>
          </cell>
          <cell r="G484" t="str">
            <v>IZGX</v>
          </cell>
        </row>
        <row r="485">
          <cell r="A485">
            <v>1852</v>
          </cell>
          <cell r="G485" t="str">
            <v>VCTAR8P6N</v>
          </cell>
        </row>
        <row r="486">
          <cell r="A486">
            <v>2963</v>
          </cell>
          <cell r="G486" t="str">
            <v>8P6N</v>
          </cell>
        </row>
        <row r="487">
          <cell r="A487">
            <v>3074</v>
          </cell>
          <cell r="G487" t="str">
            <v>L2J0HY</v>
          </cell>
        </row>
        <row r="488">
          <cell r="A488">
            <v>4185</v>
          </cell>
          <cell r="G488" t="str">
            <v>YFWD</v>
          </cell>
        </row>
        <row r="489">
          <cell r="A489">
            <v>5296</v>
          </cell>
          <cell r="G489" t="str">
            <v>BS9Q7O5M3</v>
          </cell>
        </row>
        <row r="490">
          <cell r="A490">
            <v>6307</v>
          </cell>
          <cell r="G490" t="str">
            <v>O5M3K1IZGX</v>
          </cell>
        </row>
        <row r="491">
          <cell r="A491">
            <v>7418</v>
          </cell>
          <cell r="G491" t="str">
            <v>1IZGXEVC</v>
          </cell>
        </row>
        <row r="492">
          <cell r="A492">
            <v>8529</v>
          </cell>
          <cell r="G492" t="str">
            <v>EVCTAR</v>
          </cell>
        </row>
        <row r="493">
          <cell r="A493">
            <v>9630</v>
          </cell>
          <cell r="G493" t="str">
            <v>R8P6N4</v>
          </cell>
        </row>
        <row r="494">
          <cell r="A494">
            <v>1741</v>
          </cell>
          <cell r="G494" t="str">
            <v>4L2J0H</v>
          </cell>
        </row>
        <row r="495">
          <cell r="A495">
            <v>1852</v>
          </cell>
          <cell r="G495" t="str">
            <v>HYFWDUBS9Q</v>
          </cell>
        </row>
        <row r="496">
          <cell r="A496">
            <v>2963</v>
          </cell>
          <cell r="G496" t="str">
            <v>UBS9Q7</v>
          </cell>
        </row>
        <row r="497">
          <cell r="A497">
            <v>3074</v>
          </cell>
          <cell r="G497" t="str">
            <v>7O5M3K</v>
          </cell>
        </row>
        <row r="498">
          <cell r="A498">
            <v>4185</v>
          </cell>
          <cell r="G498" t="str">
            <v>K1IZGXEV</v>
          </cell>
        </row>
        <row r="499">
          <cell r="A499">
            <v>5296</v>
          </cell>
          <cell r="G499" t="str">
            <v>XEVCTAR8P</v>
          </cell>
        </row>
        <row r="500">
          <cell r="A500">
            <v>6307</v>
          </cell>
          <cell r="G500" t="str">
            <v>AR8P6N4L2</v>
          </cell>
        </row>
        <row r="501">
          <cell r="A501">
            <v>7418</v>
          </cell>
          <cell r="G501" t="str">
            <v>N4L2J0HYF</v>
          </cell>
        </row>
        <row r="502">
          <cell r="A502">
            <v>8529</v>
          </cell>
          <cell r="G502" t="str">
            <v>0HYFWDUBS9</v>
          </cell>
        </row>
        <row r="503">
          <cell r="A503">
            <v>9630</v>
          </cell>
          <cell r="G503" t="str">
            <v>DUBS9Q7O5M</v>
          </cell>
        </row>
        <row r="504">
          <cell r="A504">
            <v>1741</v>
          </cell>
          <cell r="G504" t="str">
            <v>Q7O5M3K1I</v>
          </cell>
        </row>
        <row r="505">
          <cell r="A505">
            <v>1852</v>
          </cell>
          <cell r="G505" t="str">
            <v>3K1IZG</v>
          </cell>
        </row>
        <row r="506">
          <cell r="A506">
            <v>2963</v>
          </cell>
          <cell r="G506" t="str">
            <v>GXEVCT</v>
          </cell>
        </row>
        <row r="507">
          <cell r="A507">
            <v>3074</v>
          </cell>
          <cell r="G507" t="str">
            <v>TAR8P6</v>
          </cell>
        </row>
        <row r="508">
          <cell r="A508">
            <v>4185</v>
          </cell>
          <cell r="G508" t="str">
            <v>6N4L2J</v>
          </cell>
        </row>
        <row r="509">
          <cell r="A509">
            <v>5296</v>
          </cell>
          <cell r="G509" t="str">
            <v>J0HYFWD</v>
          </cell>
        </row>
        <row r="510">
          <cell r="A510">
            <v>6307</v>
          </cell>
          <cell r="G510" t="str">
            <v>WDUBS9Q7O</v>
          </cell>
        </row>
        <row r="511">
          <cell r="A511">
            <v>7418</v>
          </cell>
          <cell r="G511" t="str">
            <v>9Q7O5M3K1I</v>
          </cell>
        </row>
        <row r="512">
          <cell r="A512">
            <v>8529</v>
          </cell>
          <cell r="G512" t="str">
            <v>M3K1IZGXEV</v>
          </cell>
        </row>
        <row r="513">
          <cell r="A513">
            <v>9630</v>
          </cell>
          <cell r="G513" t="str">
            <v>ZGXEVCTAR8</v>
          </cell>
        </row>
        <row r="514">
          <cell r="A514">
            <v>1741</v>
          </cell>
          <cell r="G514" t="str">
            <v>CTAR8P6N4</v>
          </cell>
        </row>
        <row r="515">
          <cell r="A515">
            <v>1852</v>
          </cell>
          <cell r="G515" t="str">
            <v>P6N4L2J0H</v>
          </cell>
        </row>
        <row r="516">
          <cell r="A516">
            <v>2963</v>
          </cell>
          <cell r="G516" t="str">
            <v>2J0HYFWD</v>
          </cell>
        </row>
        <row r="517">
          <cell r="A517">
            <v>3074</v>
          </cell>
          <cell r="G517" t="str">
            <v>FWDUBS9Q7</v>
          </cell>
        </row>
        <row r="518">
          <cell r="A518">
            <v>4185</v>
          </cell>
          <cell r="G518" t="str">
            <v>S9Q7O5M</v>
          </cell>
        </row>
        <row r="519">
          <cell r="A519">
            <v>5296</v>
          </cell>
          <cell r="G519" t="str">
            <v>5M3K1IZ</v>
          </cell>
        </row>
        <row r="520">
          <cell r="A520">
            <v>6307</v>
          </cell>
          <cell r="G520" t="str">
            <v>IZGXEVC</v>
          </cell>
        </row>
        <row r="521">
          <cell r="A521">
            <v>7418</v>
          </cell>
          <cell r="G521" t="str">
            <v>VCTAR8P6N4</v>
          </cell>
        </row>
        <row r="522">
          <cell r="A522">
            <v>8529</v>
          </cell>
          <cell r="G522" t="str">
            <v>8P6N4L2</v>
          </cell>
        </row>
        <row r="523">
          <cell r="A523">
            <v>9630</v>
          </cell>
          <cell r="G523" t="str">
            <v>L2J0HYF</v>
          </cell>
        </row>
        <row r="524">
          <cell r="A524">
            <v>1741</v>
          </cell>
          <cell r="G524" t="str">
            <v>YFWDUBS9Q</v>
          </cell>
        </row>
        <row r="525">
          <cell r="A525">
            <v>1852</v>
          </cell>
          <cell r="G525" t="str">
            <v>BS9Q</v>
          </cell>
        </row>
        <row r="526">
          <cell r="A526">
            <v>2963</v>
          </cell>
          <cell r="G526" t="str">
            <v>O5M3K1IZG</v>
          </cell>
        </row>
        <row r="527">
          <cell r="A527">
            <v>3074</v>
          </cell>
          <cell r="G527" t="str">
            <v>1IZG</v>
          </cell>
        </row>
        <row r="528">
          <cell r="A528">
            <v>4185</v>
          </cell>
          <cell r="G528" t="str">
            <v>EVCTAR8P6</v>
          </cell>
        </row>
        <row r="529">
          <cell r="A529">
            <v>5296</v>
          </cell>
          <cell r="G529" t="str">
            <v>R8P6N4L2</v>
          </cell>
        </row>
        <row r="530">
          <cell r="A530">
            <v>6307</v>
          </cell>
          <cell r="G530" t="str">
            <v>4L2J0HYFW</v>
          </cell>
        </row>
        <row r="531">
          <cell r="A531">
            <v>7418</v>
          </cell>
          <cell r="G531" t="str">
            <v>HYFW</v>
          </cell>
        </row>
        <row r="532">
          <cell r="A532">
            <v>8529</v>
          </cell>
          <cell r="G532" t="str">
            <v>UBS9Q7O5M</v>
          </cell>
        </row>
        <row r="533">
          <cell r="A533">
            <v>9630</v>
          </cell>
          <cell r="G533" t="str">
            <v>7O5M3K1I</v>
          </cell>
        </row>
        <row r="534">
          <cell r="A534">
            <v>1741</v>
          </cell>
          <cell r="G534" t="str">
            <v>K1IZGXE</v>
          </cell>
        </row>
        <row r="535">
          <cell r="A535">
            <v>1852</v>
          </cell>
          <cell r="G535" t="str">
            <v>XEVC</v>
          </cell>
        </row>
        <row r="536">
          <cell r="A536">
            <v>2963</v>
          </cell>
          <cell r="G536" t="str">
            <v>AR8P6N4L2</v>
          </cell>
        </row>
        <row r="537">
          <cell r="A537">
            <v>3074</v>
          </cell>
          <cell r="G537" t="str">
            <v>N4L2</v>
          </cell>
        </row>
        <row r="538">
          <cell r="A538">
            <v>4185</v>
          </cell>
          <cell r="G538" t="str">
            <v>0HYFWDUBS9</v>
          </cell>
        </row>
        <row r="539">
          <cell r="A539">
            <v>5296</v>
          </cell>
          <cell r="G539" t="str">
            <v>DUBS</v>
          </cell>
        </row>
        <row r="540">
          <cell r="A540">
            <v>6307</v>
          </cell>
          <cell r="G540" t="str">
            <v>Q7O5M3K1I</v>
          </cell>
        </row>
        <row r="541">
          <cell r="A541">
            <v>7418</v>
          </cell>
          <cell r="G541" t="str">
            <v>3K1IZGXE</v>
          </cell>
        </row>
        <row r="542">
          <cell r="A542">
            <v>8529</v>
          </cell>
          <cell r="G542" t="str">
            <v>GXEVCTAR8</v>
          </cell>
        </row>
        <row r="543">
          <cell r="A543">
            <v>9630</v>
          </cell>
          <cell r="G543" t="str">
            <v>TAR8</v>
          </cell>
        </row>
        <row r="544">
          <cell r="A544">
            <v>1741</v>
          </cell>
          <cell r="G544" t="str">
            <v>6N4L2J0HY</v>
          </cell>
        </row>
        <row r="545">
          <cell r="A545">
            <v>1852</v>
          </cell>
          <cell r="G545" t="str">
            <v>J0HY</v>
          </cell>
        </row>
        <row r="546">
          <cell r="A546">
            <v>2963</v>
          </cell>
          <cell r="G546" t="str">
            <v>WDUBS9Q7O</v>
          </cell>
        </row>
        <row r="547">
          <cell r="A547">
            <v>3074</v>
          </cell>
          <cell r="G547" t="str">
            <v>9Q7O</v>
          </cell>
        </row>
        <row r="548">
          <cell r="A548">
            <v>4185</v>
          </cell>
          <cell r="G548" t="str">
            <v>M3K1IZ</v>
          </cell>
        </row>
        <row r="549">
          <cell r="A549">
            <v>5296</v>
          </cell>
          <cell r="G549" t="str">
            <v>ZGXE</v>
          </cell>
        </row>
        <row r="550">
          <cell r="A550">
            <v>6307</v>
          </cell>
          <cell r="G550" t="str">
            <v>CTAR8P6N4</v>
          </cell>
        </row>
        <row r="551">
          <cell r="A551">
            <v>7418</v>
          </cell>
          <cell r="G551" t="str">
            <v>P6N4L2J0HY</v>
          </cell>
        </row>
        <row r="552">
          <cell r="A552">
            <v>8529</v>
          </cell>
          <cell r="G552" t="str">
            <v>2J0HYFWD</v>
          </cell>
        </row>
        <row r="553">
          <cell r="A553">
            <v>9630</v>
          </cell>
          <cell r="G553" t="str">
            <v>FWDUBS</v>
          </cell>
        </row>
        <row r="554">
          <cell r="A554">
            <v>1741</v>
          </cell>
          <cell r="G554" t="str">
            <v>S9Q7O5</v>
          </cell>
        </row>
        <row r="555">
          <cell r="A555">
            <v>1852</v>
          </cell>
          <cell r="G555" t="str">
            <v>5M3K1I</v>
          </cell>
        </row>
        <row r="556">
          <cell r="A556">
            <v>2963</v>
          </cell>
          <cell r="G556" t="str">
            <v>IZGXEVCTAR8P</v>
          </cell>
        </row>
        <row r="557">
          <cell r="A557">
            <v>3074</v>
          </cell>
          <cell r="G557" t="str">
            <v>VCTAR8</v>
          </cell>
        </row>
        <row r="558">
          <cell r="A558">
            <v>4185</v>
          </cell>
          <cell r="G558" t="str">
            <v>8P6N4L</v>
          </cell>
        </row>
        <row r="559">
          <cell r="A559">
            <v>5296</v>
          </cell>
          <cell r="G559" t="str">
            <v>L2J0HYFW</v>
          </cell>
        </row>
        <row r="560">
          <cell r="A560">
            <v>6307</v>
          </cell>
          <cell r="G560" t="str">
            <v>YFWDUBS9Q</v>
          </cell>
        </row>
        <row r="561">
          <cell r="A561">
            <v>7418</v>
          </cell>
          <cell r="G561" t="str">
            <v>BS9Q7O5M3</v>
          </cell>
        </row>
        <row r="562">
          <cell r="A562">
            <v>8529</v>
          </cell>
          <cell r="G562" t="str">
            <v>O5M3K1IZG</v>
          </cell>
        </row>
        <row r="563">
          <cell r="A563">
            <v>9630</v>
          </cell>
          <cell r="G563" t="str">
            <v>1IZGXEVCTA</v>
          </cell>
        </row>
        <row r="564">
          <cell r="A564">
            <v>1741</v>
          </cell>
          <cell r="G564" t="str">
            <v>EVCTAR8P6N</v>
          </cell>
        </row>
        <row r="565">
          <cell r="A565">
            <v>1852</v>
          </cell>
          <cell r="G565" t="str">
            <v>R8P6N4L2J</v>
          </cell>
        </row>
        <row r="566">
          <cell r="A566">
            <v>2963</v>
          </cell>
          <cell r="G566" t="str">
            <v>4L2J0H</v>
          </cell>
        </row>
        <row r="567">
          <cell r="A567">
            <v>3074</v>
          </cell>
          <cell r="G567" t="str">
            <v>HYFWDU</v>
          </cell>
        </row>
        <row r="568">
          <cell r="A568">
            <v>4185</v>
          </cell>
          <cell r="G568" t="str">
            <v>UBS9Q7</v>
          </cell>
        </row>
        <row r="569">
          <cell r="A569">
            <v>5296</v>
          </cell>
          <cell r="G569" t="str">
            <v>7O5M3K</v>
          </cell>
        </row>
        <row r="570">
          <cell r="A570">
            <v>6307</v>
          </cell>
          <cell r="G570" t="str">
            <v>K1IZGXE</v>
          </cell>
        </row>
        <row r="571">
          <cell r="A571">
            <v>7418</v>
          </cell>
          <cell r="G571" t="str">
            <v>XEVCTAR8P</v>
          </cell>
        </row>
        <row r="572">
          <cell r="A572">
            <v>8529</v>
          </cell>
          <cell r="G572" t="str">
            <v>AR8P6N4L2J</v>
          </cell>
        </row>
        <row r="573">
          <cell r="A573">
            <v>9630</v>
          </cell>
          <cell r="G573" t="str">
            <v>N4L2J0HYFW</v>
          </cell>
        </row>
        <row r="574">
          <cell r="A574">
            <v>1741</v>
          </cell>
          <cell r="G574" t="str">
            <v>0HYFWDUBS9</v>
          </cell>
        </row>
        <row r="575">
          <cell r="A575">
            <v>1852</v>
          </cell>
          <cell r="G575" t="str">
            <v>DUBS9Q7O5</v>
          </cell>
        </row>
        <row r="576">
          <cell r="A576">
            <v>2963</v>
          </cell>
          <cell r="G576" t="str">
            <v>Q7O5M3K1I</v>
          </cell>
        </row>
        <row r="577">
          <cell r="A577">
            <v>3074</v>
          </cell>
          <cell r="G577" t="str">
            <v>3K1IZGXE</v>
          </cell>
        </row>
        <row r="578">
          <cell r="A578">
            <v>4185</v>
          </cell>
          <cell r="G578" t="str">
            <v>GXEVCTAR8</v>
          </cell>
        </row>
        <row r="579">
          <cell r="A579">
            <v>5296</v>
          </cell>
          <cell r="G579" t="str">
            <v>TAR8P6N</v>
          </cell>
        </row>
        <row r="580">
          <cell r="A580">
            <v>6307</v>
          </cell>
          <cell r="G580" t="str">
            <v>6N4L2J0</v>
          </cell>
        </row>
        <row r="581">
          <cell r="A581">
            <v>7418</v>
          </cell>
          <cell r="G581" t="str">
            <v>J0HYFWD</v>
          </cell>
        </row>
        <row r="582">
          <cell r="A582">
            <v>8529</v>
          </cell>
          <cell r="G582" t="str">
            <v>WDUBS9Q7O5M3</v>
          </cell>
        </row>
        <row r="583">
          <cell r="A583">
            <v>9630</v>
          </cell>
          <cell r="G583" t="str">
            <v>9Q7O5M3</v>
          </cell>
        </row>
        <row r="584">
          <cell r="A584">
            <v>1741</v>
          </cell>
          <cell r="G584" t="str">
            <v>M3K1IZG</v>
          </cell>
        </row>
        <row r="585">
          <cell r="A585">
            <v>1852</v>
          </cell>
          <cell r="G585" t="str">
            <v>ZGXEVCTAR</v>
          </cell>
        </row>
        <row r="586">
          <cell r="A586">
            <v>2963</v>
          </cell>
          <cell r="G586" t="str">
            <v>CTAR</v>
          </cell>
        </row>
        <row r="587">
          <cell r="A587">
            <v>3074</v>
          </cell>
          <cell r="G587" t="str">
            <v>P6N4L2J0H</v>
          </cell>
        </row>
        <row r="588">
          <cell r="A588">
            <v>4185</v>
          </cell>
          <cell r="G588" t="str">
            <v>2J0HYFWD</v>
          </cell>
        </row>
        <row r="589">
          <cell r="A589">
            <v>5296</v>
          </cell>
          <cell r="G589" t="str">
            <v>FWDUBS9</v>
          </cell>
        </row>
        <row r="590">
          <cell r="A590">
            <v>6307</v>
          </cell>
          <cell r="G590" t="str">
            <v>S9Q7</v>
          </cell>
        </row>
        <row r="591">
          <cell r="A591">
            <v>7418</v>
          </cell>
          <cell r="G591" t="str">
            <v>5M3K1IZGX</v>
          </cell>
        </row>
        <row r="592">
          <cell r="A592">
            <v>8529</v>
          </cell>
          <cell r="G592" t="str">
            <v>IZGX</v>
          </cell>
        </row>
        <row r="593">
          <cell r="A593">
            <v>9630</v>
          </cell>
          <cell r="G593" t="str">
            <v>VCTAR8P6N</v>
          </cell>
        </row>
        <row r="594">
          <cell r="A594">
            <v>1741</v>
          </cell>
          <cell r="G594" t="str">
            <v>8P6N</v>
          </cell>
        </row>
        <row r="595">
          <cell r="A595">
            <v>1852</v>
          </cell>
          <cell r="G595" t="str">
            <v>L2J0HYFWD</v>
          </cell>
        </row>
        <row r="596">
          <cell r="A596">
            <v>2963</v>
          </cell>
          <cell r="G596" t="str">
            <v>YFWDUBS9</v>
          </cell>
        </row>
        <row r="597">
          <cell r="A597">
            <v>3074</v>
          </cell>
          <cell r="G597" t="str">
            <v>BS9Q7O5M3</v>
          </cell>
        </row>
        <row r="598">
          <cell r="A598">
            <v>4185</v>
          </cell>
          <cell r="G598" t="str">
            <v>O5M3</v>
          </cell>
        </row>
        <row r="599">
          <cell r="A599">
            <v>5296</v>
          </cell>
          <cell r="G599" t="str">
            <v>1IZGXEVCT</v>
          </cell>
        </row>
        <row r="600">
          <cell r="A600">
            <v>6307</v>
          </cell>
          <cell r="G600" t="str">
            <v>EVCT</v>
          </cell>
        </row>
        <row r="601">
          <cell r="A601">
            <v>7418</v>
          </cell>
          <cell r="G601" t="str">
            <v>R8P6N4L2J</v>
          </cell>
        </row>
        <row r="602">
          <cell r="A602">
            <v>8529</v>
          </cell>
          <cell r="G602" t="str">
            <v>4L2J</v>
          </cell>
        </row>
        <row r="603">
          <cell r="A603">
            <v>9630</v>
          </cell>
          <cell r="G603" t="str">
            <v>HYFWDUBS</v>
          </cell>
        </row>
        <row r="604">
          <cell r="A604">
            <v>1741</v>
          </cell>
          <cell r="G604" t="str">
            <v>UBS9</v>
          </cell>
        </row>
        <row r="605">
          <cell r="A605">
            <v>1852</v>
          </cell>
          <cell r="G605" t="str">
            <v>7O5M3K1IZ</v>
          </cell>
        </row>
        <row r="606">
          <cell r="A606">
            <v>2963</v>
          </cell>
          <cell r="G606" t="str">
            <v>K1IZ</v>
          </cell>
        </row>
        <row r="607">
          <cell r="A607">
            <v>3074</v>
          </cell>
          <cell r="G607" t="str">
            <v>XEVCTA</v>
          </cell>
        </row>
        <row r="608">
          <cell r="A608">
            <v>4185</v>
          </cell>
          <cell r="G608" t="str">
            <v>AR8P</v>
          </cell>
        </row>
        <row r="609">
          <cell r="A609">
            <v>5296</v>
          </cell>
          <cell r="G609" t="str">
            <v>N4L2J0HYF</v>
          </cell>
        </row>
        <row r="610">
          <cell r="A610">
            <v>6307</v>
          </cell>
          <cell r="G610" t="str">
            <v>0HYFWDUBS9</v>
          </cell>
        </row>
        <row r="611">
          <cell r="A611">
            <v>7418</v>
          </cell>
          <cell r="G611" t="str">
            <v>DUBS9Q7O</v>
          </cell>
        </row>
        <row r="612">
          <cell r="A612">
            <v>8529</v>
          </cell>
          <cell r="G612" t="str">
            <v>Q7O5M3</v>
          </cell>
        </row>
        <row r="613">
          <cell r="A613">
            <v>9630</v>
          </cell>
          <cell r="G613" t="str">
            <v>3K1IZG</v>
          </cell>
        </row>
        <row r="614">
          <cell r="A614">
            <v>1741</v>
          </cell>
          <cell r="G614" t="str">
            <v>GXEVCT</v>
          </cell>
        </row>
        <row r="615">
          <cell r="A615">
            <v>1852</v>
          </cell>
          <cell r="G615" t="str">
            <v>TAR8P6N4L2</v>
          </cell>
        </row>
        <row r="616">
          <cell r="A616">
            <v>2963</v>
          </cell>
          <cell r="G616" t="str">
            <v>6N4L2J</v>
          </cell>
        </row>
        <row r="617">
          <cell r="A617">
            <v>3074</v>
          </cell>
          <cell r="G617" t="str">
            <v>J0HYFW</v>
          </cell>
        </row>
        <row r="618">
          <cell r="A618">
            <v>4185</v>
          </cell>
          <cell r="G618" t="str">
            <v>WDUBS9Q7</v>
          </cell>
        </row>
        <row r="619">
          <cell r="A619">
            <v>5296</v>
          </cell>
          <cell r="G619" t="str">
            <v>9Q7O5M3K1</v>
          </cell>
        </row>
        <row r="620">
          <cell r="A620">
            <v>6307</v>
          </cell>
          <cell r="G620" t="str">
            <v>M3K1IZGXE</v>
          </cell>
        </row>
        <row r="621">
          <cell r="A621">
            <v>7418</v>
          </cell>
          <cell r="G621" t="str">
            <v>ZGXEVCTAR</v>
          </cell>
        </row>
        <row r="622">
          <cell r="A622">
            <v>8529</v>
          </cell>
          <cell r="G622" t="str">
            <v>CTAR8P6N4L</v>
          </cell>
        </row>
        <row r="623">
          <cell r="A623">
            <v>9630</v>
          </cell>
          <cell r="G623" t="str">
            <v>P6N4L2J0HY</v>
          </cell>
        </row>
        <row r="624">
          <cell r="A624">
            <v>1741</v>
          </cell>
          <cell r="G624" t="str">
            <v>2J0HYFWDU</v>
          </cell>
        </row>
        <row r="625">
          <cell r="A625">
            <v>1852</v>
          </cell>
          <cell r="G625" t="str">
            <v>FWDUBS</v>
          </cell>
        </row>
        <row r="626">
          <cell r="A626">
            <v>2963</v>
          </cell>
          <cell r="G626" t="str">
            <v>S9Q7O5</v>
          </cell>
        </row>
        <row r="627">
          <cell r="A627">
            <v>3074</v>
          </cell>
          <cell r="G627" t="str">
            <v>5M3K1I</v>
          </cell>
        </row>
        <row r="628">
          <cell r="A628">
            <v>4185</v>
          </cell>
          <cell r="G628" t="str">
            <v>IZGXEV</v>
          </cell>
        </row>
        <row r="629">
          <cell r="A629">
            <v>5296</v>
          </cell>
          <cell r="G629" t="str">
            <v>VCTAR8P</v>
          </cell>
        </row>
        <row r="630">
          <cell r="A630">
            <v>6307</v>
          </cell>
          <cell r="G630" t="str">
            <v>8P6N4L2J0</v>
          </cell>
        </row>
        <row r="631">
          <cell r="A631">
            <v>7418</v>
          </cell>
          <cell r="G631" t="str">
            <v>L2J0HYFWDU</v>
          </cell>
        </row>
        <row r="632">
          <cell r="A632">
            <v>8529</v>
          </cell>
          <cell r="G632" t="str">
            <v>YFWDUBS9Q7</v>
          </cell>
        </row>
        <row r="633">
          <cell r="A633">
            <v>9630</v>
          </cell>
          <cell r="G633" t="str">
            <v>BS9Q7O5M3K</v>
          </cell>
        </row>
        <row r="634">
          <cell r="A634">
            <v>1741</v>
          </cell>
          <cell r="G634" t="str">
            <v>O5M3K1IZG</v>
          </cell>
        </row>
        <row r="635">
          <cell r="A635">
            <v>1852</v>
          </cell>
          <cell r="G635" t="str">
            <v>1IZGXEVCT</v>
          </cell>
        </row>
        <row r="636">
          <cell r="A636">
            <v>2963</v>
          </cell>
          <cell r="G636" t="str">
            <v>EVCTAR8P</v>
          </cell>
        </row>
        <row r="637">
          <cell r="A637">
            <v>3074</v>
          </cell>
          <cell r="G637" t="str">
            <v>R8P6N4L2J</v>
          </cell>
        </row>
        <row r="638">
          <cell r="A638">
            <v>4185</v>
          </cell>
          <cell r="G638" t="str">
            <v>4L2J0HY</v>
          </cell>
        </row>
        <row r="639">
          <cell r="A639">
            <v>5296</v>
          </cell>
          <cell r="G639" t="str">
            <v>HYFWDUB</v>
          </cell>
        </row>
        <row r="640">
          <cell r="A640">
            <v>6307</v>
          </cell>
          <cell r="G640" t="str">
            <v>UBS9Q7O</v>
          </cell>
        </row>
        <row r="641">
          <cell r="A641">
            <v>7418</v>
          </cell>
          <cell r="G641" t="str">
            <v>7O5M3K1IZG</v>
          </cell>
        </row>
        <row r="642">
          <cell r="A642">
            <v>8529</v>
          </cell>
          <cell r="G642" t="str">
            <v>K1IZGXE</v>
          </cell>
        </row>
        <row r="643">
          <cell r="A643">
            <v>9630</v>
          </cell>
          <cell r="G643" t="str">
            <v>XEVCTAR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Q783"/>
  <sheetViews>
    <sheetView tabSelected="1" topLeftCell="A736" workbookViewId="0">
      <pane xSplit="3" topLeftCell="D1" activePane="topRight" state="frozen"/>
      <selection pane="topRight" activeCell="E770" sqref="E770"/>
    </sheetView>
  </sheetViews>
  <sheetFormatPr defaultColWidth="9" defaultRowHeight="16.5" x14ac:dyDescent="0.35"/>
  <cols>
    <col min="1" max="2" width="9.875" style="1" customWidth="1"/>
    <col min="3" max="3" width="22.625" style="1" customWidth="1"/>
    <col min="4" max="5" width="20.125" style="1" customWidth="1"/>
    <col min="6" max="6" width="22.125" style="1" customWidth="1"/>
    <col min="7" max="7" width="12.375" style="1" customWidth="1"/>
    <col min="8" max="8" width="24.5" style="1" customWidth="1"/>
    <col min="9" max="9" width="25.125" style="1" customWidth="1"/>
    <col min="10" max="10" width="23.375" style="1" customWidth="1"/>
    <col min="11" max="11" width="31.375" style="2" customWidth="1"/>
    <col min="12" max="12" width="20.625" style="1" customWidth="1"/>
    <col min="13" max="13" width="32" style="2" customWidth="1"/>
    <col min="14" max="14" width="16" style="1" customWidth="1"/>
    <col min="15" max="15" width="9" style="1"/>
    <col min="16" max="16" width="24.25" style="2" customWidth="1"/>
    <col min="17" max="16369" width="9" style="1"/>
    <col min="16371" max="16384" width="9" style="1"/>
  </cols>
  <sheetData>
    <row r="1" spans="1:15 16370:16371" x14ac:dyDescent="0.35">
      <c r="A1" s="3" t="s">
        <v>0</v>
      </c>
      <c r="B1" s="3"/>
    </row>
    <row r="2" spans="1:15 16370:16371" x14ac:dyDescent="0.35">
      <c r="A2" s="4" t="s">
        <v>1</v>
      </c>
      <c r="B2" s="4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6" t="s">
        <v>11</v>
      </c>
      <c r="L2" s="5" t="s">
        <v>12</v>
      </c>
      <c r="M2" s="6" t="s">
        <v>13</v>
      </c>
      <c r="XEP2" s="1"/>
      <c r="XEQ2"/>
    </row>
    <row r="3" spans="1:15 16370:16371" x14ac:dyDescent="0.35">
      <c r="A3" s="4" t="s">
        <v>14</v>
      </c>
      <c r="B3" s="4" t="s">
        <v>15</v>
      </c>
      <c r="C3" s="4" t="s">
        <v>16</v>
      </c>
      <c r="D3" s="5" t="s">
        <v>14</v>
      </c>
      <c r="E3" s="5" t="s">
        <v>17</v>
      </c>
      <c r="F3" s="5" t="s">
        <v>18</v>
      </c>
      <c r="G3" s="5" t="s">
        <v>17</v>
      </c>
      <c r="H3" s="5" t="s">
        <v>19</v>
      </c>
      <c r="I3" s="5" t="s">
        <v>17</v>
      </c>
      <c r="J3" s="5" t="s">
        <v>20</v>
      </c>
      <c r="K3" s="6" t="s">
        <v>20</v>
      </c>
      <c r="L3" s="5" t="s">
        <v>20</v>
      </c>
      <c r="M3" s="6" t="s">
        <v>21</v>
      </c>
      <c r="XEP3" s="1"/>
      <c r="XEQ3"/>
    </row>
    <row r="4" spans="1:15 16370:16371" x14ac:dyDescent="0.35">
      <c r="A4" s="4" t="s">
        <v>22</v>
      </c>
      <c r="B4" s="4"/>
      <c r="C4" s="4" t="s">
        <v>23</v>
      </c>
      <c r="D4" s="5"/>
      <c r="E4" s="5"/>
      <c r="F4" s="5"/>
      <c r="G4" s="5"/>
      <c r="H4" s="5"/>
      <c r="I4" s="5"/>
      <c r="J4" s="5"/>
      <c r="K4" s="6"/>
      <c r="L4" s="5"/>
      <c r="M4" s="6" t="s">
        <v>24</v>
      </c>
      <c r="XEP4" s="1"/>
      <c r="XEQ4"/>
    </row>
    <row r="5" spans="1:15 16370:16371" ht="49.5" x14ac:dyDescent="0.35">
      <c r="A5" s="4" t="s">
        <v>25</v>
      </c>
      <c r="B5" s="4" t="s">
        <v>23</v>
      </c>
      <c r="C5" s="4" t="s">
        <v>23</v>
      </c>
      <c r="D5" s="5" t="s">
        <v>26</v>
      </c>
      <c r="E5" s="5" t="s">
        <v>27</v>
      </c>
      <c r="F5" s="5" t="s">
        <v>28</v>
      </c>
      <c r="G5" s="5" t="s">
        <v>23</v>
      </c>
      <c r="H5" s="5" t="s">
        <v>28</v>
      </c>
      <c r="I5" s="5" t="s">
        <v>29</v>
      </c>
      <c r="J5" s="5" t="s">
        <v>30</v>
      </c>
      <c r="K5" s="7" t="s">
        <v>31</v>
      </c>
      <c r="L5" s="5" t="s">
        <v>23</v>
      </c>
      <c r="M5" s="6" t="s">
        <v>23</v>
      </c>
      <c r="XEP5" s="1"/>
      <c r="XEQ5"/>
    </row>
    <row r="6" spans="1:15 16370:16371" x14ac:dyDescent="0.35">
      <c r="A6" s="4" t="s">
        <v>32</v>
      </c>
      <c r="B6" s="8" t="s">
        <v>33</v>
      </c>
      <c r="C6" s="4" t="s">
        <v>34</v>
      </c>
      <c r="D6" s="9" t="s">
        <v>35</v>
      </c>
      <c r="E6" s="9" t="s">
        <v>36</v>
      </c>
      <c r="F6" s="9" t="s">
        <v>37</v>
      </c>
      <c r="G6" s="9" t="s">
        <v>38</v>
      </c>
      <c r="H6" s="10" t="s">
        <v>39</v>
      </c>
      <c r="I6" s="5" t="s">
        <v>40</v>
      </c>
      <c r="J6" s="10" t="s">
        <v>41</v>
      </c>
      <c r="K6" s="11" t="s">
        <v>42</v>
      </c>
      <c r="L6" s="12" t="s">
        <v>43</v>
      </c>
      <c r="M6" s="12" t="s">
        <v>44</v>
      </c>
      <c r="XEP6" s="1"/>
      <c r="XEQ6"/>
    </row>
    <row r="7" spans="1:15 16370:16371" x14ac:dyDescent="0.35">
      <c r="A7" s="13" t="s">
        <v>45</v>
      </c>
      <c r="B7" t="inlineStr" s="13">
        <is>
          <t>GXEVCTAR</t>
        </is>
      </c>
      <c r="C7" s="14" t="s">
        <v>46</v>
      </c>
      <c r="D7" s="15">
        <v>3</v>
      </c>
      <c r="E7" s="15"/>
      <c r="F7" s="15" t="s">
        <v>47</v>
      </c>
      <c r="G7" s="15"/>
      <c r="H7" s="15"/>
      <c r="I7" s="16">
        <v>852963</v>
      </c>
      <c r="J7" s="15">
        <v>9.6</v>
      </c>
      <c r="K7" s="17"/>
      <c r="XEP7" s="1"/>
      <c r="XEQ7"/>
    </row>
    <row r="8" spans="1:15 16370:16371" x14ac:dyDescent="0.35">
      <c r="A8" s="13" t="s">
        <v>48</v>
      </c>
      <c r="B8" t="inlineStr" s="13">
        <is>
          <t>5M3K1IZG</t>
        </is>
      </c>
      <c r="C8" s="14" t="s">
        <v>49</v>
      </c>
      <c r="D8" s="15">
        <v>6</v>
      </c>
      <c r="E8" s="15"/>
      <c r="F8" s="15" t="s">
        <v>50</v>
      </c>
      <c r="G8" s="15"/>
      <c r="H8" s="15"/>
      <c r="I8" s="16">
        <v>185296</v>
      </c>
      <c r="J8" s="15">
        <v>2.9</v>
      </c>
      <c r="K8" s="17"/>
      <c r="XEP8" s="1"/>
      <c r="XEQ8"/>
    </row>
    <row r="9" spans="1:15 16370:16371" x14ac:dyDescent="0.35">
      <c r="A9" s="13" t="s">
        <v>51</v>
      </c>
      <c r="B9" t="inlineStr" s="13">
        <is>
          <t>UBS9Q7O5</t>
        </is>
      </c>
      <c r="C9" s="14" t="s">
        <v>52</v>
      </c>
      <c r="D9" s="15">
        <v>9</v>
      </c>
      <c r="E9" s="15"/>
      <c r="F9" s="15" t="s">
        <v>53</v>
      </c>
      <c r="G9" s="15"/>
      <c r="H9" s="15"/>
      <c r="I9" s="16">
        <v>418529</v>
      </c>
      <c r="J9" s="15">
        <v>5.2</v>
      </c>
      <c r="K9" s="17"/>
      <c r="XEP9" s="1"/>
      <c r="XEQ9"/>
    </row>
    <row r="10" spans="1:15 16370:16371" x14ac:dyDescent="0.35">
      <c r="A10" s="13" t="s">
        <v>54</v>
      </c>
      <c r="B10" t="inlineStr" s="13">
        <is>
          <t>J0HYFWDU</t>
        </is>
      </c>
      <c r="C10" s="14" t="s">
        <v>55</v>
      </c>
      <c r="D10" s="15">
        <v>2</v>
      </c>
      <c r="E10" s="15"/>
      <c r="F10" s="15" t="s">
        <v>56</v>
      </c>
      <c r="G10" s="15"/>
      <c r="H10" s="15"/>
      <c r="I10" s="16">
        <v>741852</v>
      </c>
      <c r="J10" s="15">
        <v>8.5</v>
      </c>
      <c r="K10" s="17"/>
      <c r="XEP10" s="1"/>
      <c r="XEQ10"/>
    </row>
    <row r="11" spans="1:15 16370:16371" x14ac:dyDescent="0.35">
      <c r="A11" s="13" t="s">
        <v>57</v>
      </c>
      <c r="B11" t="inlineStr" s="13">
        <is>
          <t>8P6N4L2J</t>
        </is>
      </c>
      <c r="C11" s="14" t="s">
        <v>58</v>
      </c>
      <c r="D11" s="15">
        <v>5</v>
      </c>
      <c r="E11" s="15"/>
      <c r="F11" s="15" t="s">
        <v>59</v>
      </c>
      <c r="G11" s="15"/>
      <c r="H11" s="15"/>
      <c r="I11" s="16">
        <v>174185</v>
      </c>
      <c r="J11" s="15">
        <v>1.8</v>
      </c>
      <c r="K11" s="17"/>
      <c r="XEP11" s="1"/>
      <c r="XEQ11"/>
    </row>
    <row r="12" spans="1:15 16370:16371" x14ac:dyDescent="0.35">
      <c r="A12" s="18">
        <v>52963</v>
      </c>
      <c r="B12" s="18" t="s">
        <v>590</v>
      </c>
      <c r="C12" s="14" t="s">
        <v>60</v>
      </c>
      <c r="D12" s="15">
        <v>8</v>
      </c>
      <c r="E12" s="15"/>
      <c r="F12" s="15" t="s">
        <v>61</v>
      </c>
      <c r="G12" s="15">
        <v>1852</v>
      </c>
      <c r="H12" s="15" t="s">
        <v>62</v>
      </c>
      <c r="I12" s="16">
        <v>30741</v>
      </c>
      <c r="J12" s="15">
        <v>4</v>
      </c>
      <c r="K12" s="17" t="s">
        <v>63</v>
      </c>
      <c r="L12" s="1" t="str">
        <f>"J0HYFWDUBS9Q7O5M3K1I"</f>
        <v>J0HYFWDUBS9Q7O5M3K1I</v>
      </c>
      <c r="M12" s="2" t="str">
        <f>"WDUBS9Q7O5M3K1"</f>
        <v>WDUBS9Q7O5M3K1</v>
      </c>
      <c r="N12" s="1" t="s">
        <v>64</v>
      </c>
      <c r="O12" s="1">
        <v>9630</v>
      </c>
      <c r="XEP12" s="1"/>
      <c r="XEQ12"/>
    </row>
    <row r="13" spans="1:15 16370:16371" x14ac:dyDescent="0.35">
      <c r="A13" s="18">
        <v>29630</v>
      </c>
      <c r="B13" s="18" t="s">
        <v>590</v>
      </c>
      <c r="C13" s="14" t="s">
        <v>65</v>
      </c>
      <c r="D13" s="15">
        <v>5</v>
      </c>
      <c r="E13" s="15"/>
      <c r="F13" s="15" t="s">
        <v>61</v>
      </c>
      <c r="G13" s="15">
        <v>8529</v>
      </c>
      <c r="H13" s="15" t="s">
        <v>62</v>
      </c>
      <c r="I13" s="16">
        <v>17418</v>
      </c>
      <c r="J13" s="15">
        <v>1</v>
      </c>
      <c r="K13" s="17" t="s">
        <v>66</v>
      </c>
      <c r="L13" s="1" t="str">
        <f>"O5M3K1IZGXEVCTAR8P6N4L"</f>
        <v>O5M3K1IZGXEVCTAR8P6N4L</v>
      </c>
      <c r="M13" s="2" t="str">
        <f>"1IZGXEVCTAR8P6"</f>
        <v>1IZGXEVCTAR8P6</v>
      </c>
      <c r="N13" s="1" t="s">
        <v>64</v>
      </c>
      <c r="O13" s="1">
        <v>630741</v>
      </c>
      <c r="XEP13" s="1"/>
      <c r="XEQ13"/>
    </row>
    <row r="14" spans="1:15 16370:16371" x14ac:dyDescent="0.35">
      <c r="A14" s="18">
        <v>96307</v>
      </c>
      <c r="B14" s="18" t="s">
        <v>590</v>
      </c>
      <c r="C14" s="14" t="s">
        <v>67</v>
      </c>
      <c r="D14" s="15">
        <v>2</v>
      </c>
      <c r="E14" s="15"/>
      <c r="F14" s="15" t="s">
        <v>61</v>
      </c>
      <c r="G14" s="15">
        <v>5296</v>
      </c>
      <c r="H14" s="15" t="s">
        <v>68</v>
      </c>
      <c r="I14" s="16">
        <v>74185</v>
      </c>
      <c r="J14" s="15">
        <v>8</v>
      </c>
      <c r="K14" s="17" t="s">
        <v>69</v>
      </c>
      <c r="M14" s="2" t="str">
        <f>"TAR8"</f>
        <v/>
      </c>
      <c r="XEP14" s="1"/>
      <c r="XEQ14"/>
    </row>
    <row r="15" spans="1:15 16370:16371" x14ac:dyDescent="0.35">
      <c r="A15" s="18">
        <v>30741</v>
      </c>
      <c r="B15" s="18" t="s">
        <v>590</v>
      </c>
      <c r="C15" s="14" t="s">
        <v>70</v>
      </c>
      <c r="D15" s="15">
        <v>6</v>
      </c>
      <c r="E15" s="15"/>
      <c r="F15" s="15" t="s">
        <v>61</v>
      </c>
      <c r="G15" s="15">
        <v>9630</v>
      </c>
      <c r="H15" s="15" t="s">
        <v>68</v>
      </c>
      <c r="I15" s="16">
        <v>18529</v>
      </c>
      <c r="J15" s="15">
        <v>2</v>
      </c>
      <c r="K15" s="17" t="s">
        <v>71</v>
      </c>
      <c r="M15" s="2" t="str">
        <f>"VCTA"</f>
        <v/>
      </c>
      <c r="XEP15" s="1"/>
      <c r="XEQ15"/>
    </row>
    <row r="16" spans="1:15 16370:16371" x14ac:dyDescent="0.35">
      <c r="A16" s="18">
        <v>74185</v>
      </c>
      <c r="B16" s="18" t="s">
        <v>590</v>
      </c>
      <c r="C16" s="14" t="s">
        <v>72</v>
      </c>
      <c r="D16" s="15">
        <v>1</v>
      </c>
      <c r="E16" s="15"/>
      <c r="F16" s="15" t="s">
        <v>61</v>
      </c>
      <c r="G16" s="15">
        <v>3074</v>
      </c>
      <c r="H16" s="15" t="s">
        <v>68</v>
      </c>
      <c r="I16" s="16">
        <v>52963</v>
      </c>
      <c r="J16" s="15">
        <v>6</v>
      </c>
      <c r="K16" s="17" t="s">
        <v>73</v>
      </c>
      <c r="M16" s="2" t="str">
        <f>"XEVC"</f>
        <v/>
      </c>
      <c r="XEP16" s="1"/>
      <c r="XEQ16"/>
    </row>
    <row r="17" spans="1:15 16370:16371" x14ac:dyDescent="0.35">
      <c r="A17" s="18">
        <v>18529</v>
      </c>
      <c r="B17" s="18" t="s">
        <v>590</v>
      </c>
      <c r="C17" s="14" t="s">
        <v>74</v>
      </c>
      <c r="D17" s="15">
        <v>4</v>
      </c>
      <c r="E17" s="15"/>
      <c r="F17" s="15" t="s">
        <v>61</v>
      </c>
      <c r="G17" s="15">
        <v>7418</v>
      </c>
      <c r="H17" s="15" t="s">
        <v>75</v>
      </c>
      <c r="I17" s="16">
        <v>96307</v>
      </c>
      <c r="J17" s="15">
        <v>1</v>
      </c>
      <c r="K17" s="17" t="s">
        <v>76</v>
      </c>
      <c r="L17" s="1" t="str">
        <f>"ZGXEVCTAR8P6N4L2J0HY"</f>
        <v>ZGXEVCTAR8P6N4L2J0HY</v>
      </c>
      <c r="M17" s="2" t="str">
        <f>"CTAR8P6N4L2J0HYFW"</f>
        <v>CTAR8P6N4L2J0HYFW</v>
      </c>
      <c r="N17" s="1" t="s">
        <v>64</v>
      </c>
      <c r="O17" s="1">
        <v>5296</v>
      </c>
      <c r="XEP17" s="1"/>
      <c r="XEQ17"/>
    </row>
    <row r="18" spans="1:15 16370:16371" x14ac:dyDescent="0.35">
      <c r="A18" s="18">
        <v>85296</v>
      </c>
      <c r="B18" s="18" t="s">
        <v>590</v>
      </c>
      <c r="C18" s="14" t="s">
        <v>77</v>
      </c>
      <c r="D18" s="15">
        <v>1</v>
      </c>
      <c r="E18" s="15"/>
      <c r="F18" s="15" t="s">
        <v>61</v>
      </c>
      <c r="G18" s="15">
        <v>4185</v>
      </c>
      <c r="H18" s="15" t="s">
        <v>68</v>
      </c>
      <c r="I18" s="16">
        <v>63074</v>
      </c>
      <c r="J18" s="15">
        <v>7</v>
      </c>
      <c r="K18" s="17" t="s">
        <v>78</v>
      </c>
      <c r="M18" s="2" t="str">
        <f>"4L2J"</f>
        <v/>
      </c>
      <c r="XEP18" s="1"/>
      <c r="XEQ18"/>
    </row>
    <row r="19" spans="1:15 16370:16371" x14ac:dyDescent="0.35">
      <c r="A19" s="18">
        <v>29630</v>
      </c>
      <c r="B19" s="18" t="s">
        <v>590</v>
      </c>
      <c r="C19" s="14" t="s">
        <v>79</v>
      </c>
      <c r="D19" s="15">
        <v>5</v>
      </c>
      <c r="E19" s="15"/>
      <c r="F19" s="15" t="s">
        <v>61</v>
      </c>
      <c r="G19" s="15">
        <v>8529</v>
      </c>
      <c r="H19" s="15" t="s">
        <v>75</v>
      </c>
      <c r="I19" s="16">
        <v>17418</v>
      </c>
      <c r="J19" s="15">
        <v>1</v>
      </c>
      <c r="K19" s="17" t="s">
        <v>80</v>
      </c>
      <c r="L19" s="1" t="str">
        <f>"6N4L2J0HYFWDUBS9Q7O5"</f>
        <v>6N4L2J0HYFWDUBS9Q7O5</v>
      </c>
      <c r="M19" s="2" t="str">
        <f>"J0HYFWDUBS9Q7O5M3"</f>
        <v>J0HYFWDUBS9Q7O5M3</v>
      </c>
      <c r="N19" s="1" t="s">
        <v>64</v>
      </c>
      <c r="O19" s="1">
        <v>6307</v>
      </c>
    </row>
    <row r="20" spans="1:15 16370:16371" x14ac:dyDescent="0.35">
      <c r="A20" s="18">
        <v>74185</v>
      </c>
      <c r="B20" s="18" t="s">
        <v>590</v>
      </c>
      <c r="C20" s="14" t="s">
        <v>81</v>
      </c>
      <c r="D20" s="15">
        <v>1</v>
      </c>
      <c r="E20" s="15"/>
      <c r="F20" s="15" t="s">
        <v>61</v>
      </c>
      <c r="G20" s="15">
        <v>3074</v>
      </c>
      <c r="H20" s="15" t="s">
        <v>68</v>
      </c>
      <c r="I20" s="16">
        <v>52963</v>
      </c>
      <c r="J20" s="15">
        <v>6</v>
      </c>
      <c r="K20" s="17" t="s">
        <v>82</v>
      </c>
      <c r="M20" s="2" t="str">
        <f>"L2J0"</f>
        <v/>
      </c>
    </row>
    <row r="21" spans="1:15 16370:16371" x14ac:dyDescent="0.35">
      <c r="A21" s="18">
        <v>96307</v>
      </c>
      <c r="B21" s="18" t="s">
        <v>590</v>
      </c>
      <c r="C21" s="14" t="s">
        <v>83</v>
      </c>
      <c r="D21" s="15">
        <v>2</v>
      </c>
      <c r="E21" s="15"/>
      <c r="F21" s="15" t="s">
        <v>61</v>
      </c>
      <c r="G21" s="15">
        <v>5296</v>
      </c>
      <c r="H21" s="15" t="s">
        <v>68</v>
      </c>
      <c r="I21" s="16">
        <v>74185</v>
      </c>
      <c r="J21" s="15">
        <v>8</v>
      </c>
      <c r="K21" s="17" t="s">
        <v>84</v>
      </c>
      <c r="M21" s="2" t="str">
        <f>"XEVC"</f>
        <v/>
      </c>
    </row>
    <row r="22" spans="1:15 16370:16371" x14ac:dyDescent="0.35">
      <c r="A22" s="18">
        <v>18529</v>
      </c>
      <c r="B22" s="18" t="s">
        <v>590</v>
      </c>
      <c r="C22" s="14" t="s">
        <v>85</v>
      </c>
      <c r="D22" s="15">
        <v>4</v>
      </c>
      <c r="E22" s="15"/>
      <c r="F22" s="15" t="s">
        <v>61</v>
      </c>
      <c r="G22" s="15">
        <v>7418</v>
      </c>
      <c r="H22" s="15" t="s">
        <v>68</v>
      </c>
      <c r="I22" s="16">
        <v>96307</v>
      </c>
      <c r="J22" s="15">
        <v>1</v>
      </c>
      <c r="K22" s="17" t="s">
        <v>86</v>
      </c>
      <c r="M22" s="2" t="str">
        <f>"9Q7O"</f>
        <v/>
      </c>
    </row>
    <row r="23" spans="1:15 16370:16371" x14ac:dyDescent="0.35">
      <c r="A23" s="18">
        <v>30741</v>
      </c>
      <c r="B23" s="18" t="s">
        <v>590</v>
      </c>
      <c r="C23" s="14" t="s">
        <v>87</v>
      </c>
      <c r="D23" s="15">
        <v>6</v>
      </c>
      <c r="E23" s="15"/>
      <c r="F23" s="15" t="s">
        <v>61</v>
      </c>
      <c r="G23" s="15">
        <v>9630</v>
      </c>
      <c r="H23" s="15" t="s">
        <v>88</v>
      </c>
      <c r="I23" s="16">
        <v>18529</v>
      </c>
      <c r="J23" s="15">
        <v>2</v>
      </c>
      <c r="K23" s="17" t="s">
        <v>89</v>
      </c>
      <c r="L23" s="1" t="str">
        <f>"L2J0HYFWDUBS9Q7O5M3K"</f>
        <v>L2J0HYFWDUBS9Q7O5M3K</v>
      </c>
      <c r="M23" s="2" t="str">
        <f>"YFWDUBS9Q7O5M3K1I"</f>
        <v>YFWDUBS9Q7O5M3K1I</v>
      </c>
      <c r="N23" s="1" t="s">
        <v>64</v>
      </c>
      <c r="O23" s="1">
        <v>7418</v>
      </c>
    </row>
    <row r="24" spans="1:15 16370:16371" x14ac:dyDescent="0.35">
      <c r="A24" s="18">
        <v>85296</v>
      </c>
      <c r="B24" s="18" t="s">
        <v>590</v>
      </c>
      <c r="C24" s="14" t="s">
        <v>90</v>
      </c>
      <c r="D24" s="15">
        <v>1</v>
      </c>
      <c r="E24" s="15"/>
      <c r="F24" s="15" t="s">
        <v>61</v>
      </c>
      <c r="G24" s="15">
        <v>4185</v>
      </c>
      <c r="H24" s="15" t="s">
        <v>68</v>
      </c>
      <c r="I24" s="16">
        <v>63074</v>
      </c>
      <c r="J24" s="15">
        <v>7</v>
      </c>
      <c r="K24" s="17" t="s">
        <v>91</v>
      </c>
      <c r="M24" s="2" t="str">
        <f>"0HYF"</f>
        <v/>
      </c>
    </row>
    <row r="25" spans="1:15 16370:16371" x14ac:dyDescent="0.35">
      <c r="A25" s="18">
        <v>17418</v>
      </c>
      <c r="B25" s="18" t="s">
        <v>590</v>
      </c>
      <c r="C25" s="14" t="s">
        <v>92</v>
      </c>
      <c r="D25" s="15">
        <v>3</v>
      </c>
      <c r="E25" s="15"/>
      <c r="F25" s="15" t="s">
        <v>61</v>
      </c>
      <c r="G25" s="15">
        <v>6307</v>
      </c>
      <c r="H25" s="15" t="s">
        <v>88</v>
      </c>
      <c r="I25" s="16">
        <v>85296</v>
      </c>
      <c r="J25" s="15">
        <v>9</v>
      </c>
      <c r="K25" s="17" t="s">
        <v>93</v>
      </c>
      <c r="L25" s="1" t="str">
        <f>"CTAR8P6N4L2J0HYFWDUB"</f>
        <v>CTAR8P6N4L2J0HYFWDUB</v>
      </c>
      <c r="M25" s="2" t="str">
        <f>"P6N4L2J0HYFWDUBS"</f>
        <v>P6N4L2J0HYFWDUBS</v>
      </c>
      <c r="N25" s="1" t="s">
        <v>64</v>
      </c>
      <c r="O25" s="1">
        <v>4185</v>
      </c>
    </row>
    <row r="26" spans="1:15 16370:16371" x14ac:dyDescent="0.35">
      <c r="A26" s="18">
        <v>52963</v>
      </c>
      <c r="B26" s="18" t="s">
        <v>590</v>
      </c>
      <c r="C26" s="14" t="s">
        <v>94</v>
      </c>
      <c r="D26" s="15">
        <v>8</v>
      </c>
      <c r="E26" s="15"/>
      <c r="F26" s="15" t="s">
        <v>61</v>
      </c>
      <c r="G26" s="15">
        <v>1852</v>
      </c>
      <c r="H26" s="15" t="s">
        <v>68</v>
      </c>
      <c r="I26" s="16">
        <v>30741</v>
      </c>
      <c r="J26" s="15">
        <v>4</v>
      </c>
      <c r="K26" s="17" t="s">
        <v>95</v>
      </c>
      <c r="M26" s="2" t="str">
        <f>"R8P6"</f>
        <v/>
      </c>
    </row>
    <row r="27" spans="1:15 16370:16371" x14ac:dyDescent="0.35">
      <c r="A27" s="18">
        <v>74185</v>
      </c>
      <c r="B27" s="18" t="s">
        <v>590</v>
      </c>
      <c r="C27" s="14" t="s">
        <v>96</v>
      </c>
      <c r="D27" s="15">
        <v>1</v>
      </c>
      <c r="E27" s="15"/>
      <c r="F27" s="15" t="s">
        <v>61</v>
      </c>
      <c r="G27" s="15">
        <v>3074</v>
      </c>
      <c r="H27" s="15" t="s">
        <v>68</v>
      </c>
      <c r="I27" s="16">
        <v>52963</v>
      </c>
      <c r="J27" s="15">
        <v>6</v>
      </c>
      <c r="K27" s="17" t="s">
        <v>97</v>
      </c>
      <c r="M27" s="2" t="str">
        <f>"3K1I"</f>
        <v/>
      </c>
    </row>
    <row r="28" spans="1:15 16370:16371" x14ac:dyDescent="0.35">
      <c r="A28" s="18">
        <v>96307</v>
      </c>
      <c r="B28" s="18" t="s">
        <v>590</v>
      </c>
      <c r="C28" s="14" t="s">
        <v>98</v>
      </c>
      <c r="D28" s="15">
        <v>2</v>
      </c>
      <c r="E28" s="15"/>
      <c r="F28" s="15" t="s">
        <v>61</v>
      </c>
      <c r="G28" s="15">
        <v>5296</v>
      </c>
      <c r="H28" s="15" t="s">
        <v>68</v>
      </c>
      <c r="I28" s="16">
        <v>74185</v>
      </c>
      <c r="J28" s="15">
        <v>8</v>
      </c>
      <c r="K28" s="17" t="s">
        <v>99</v>
      </c>
      <c r="M28" s="2" t="str">
        <f>"FWDU"</f>
        <v/>
      </c>
    </row>
    <row r="29" spans="1:15 16370:16371" x14ac:dyDescent="0.35">
      <c r="A29" s="18">
        <v>18529</v>
      </c>
      <c r="B29" s="18" t="s">
        <v>590</v>
      </c>
      <c r="C29" s="14" t="s">
        <v>100</v>
      </c>
      <c r="D29" s="15">
        <v>4</v>
      </c>
      <c r="E29" s="15"/>
      <c r="F29" s="15" t="s">
        <v>61</v>
      </c>
      <c r="G29" s="15">
        <v>7418</v>
      </c>
      <c r="H29" s="15" t="s">
        <v>75</v>
      </c>
      <c r="I29" s="16">
        <v>96307</v>
      </c>
      <c r="J29" s="15">
        <v>1</v>
      </c>
      <c r="K29" s="17" t="s">
        <v>101</v>
      </c>
      <c r="L29" s="1" t="str">
        <f>"R8P6N4L2J0HYFWDU"</f>
        <v>R8P6N4L2J0HYFWDU</v>
      </c>
      <c r="M29" s="2" t="str">
        <f>"4L2J0HYF"</f>
        <v>4L2J0HYF</v>
      </c>
      <c r="N29" s="1" t="s">
        <v>102</v>
      </c>
      <c r="O29" s="1">
        <v>5</v>
      </c>
    </row>
    <row r="30" spans="1:15 16370:16371" x14ac:dyDescent="0.35">
      <c r="A30" s="18">
        <v>63074</v>
      </c>
      <c r="B30" s="18" t="s">
        <v>590</v>
      </c>
      <c r="C30" s="14" t="s">
        <v>103</v>
      </c>
      <c r="D30" s="15">
        <v>9</v>
      </c>
      <c r="E30" s="15"/>
      <c r="F30" s="15" t="s">
        <v>61</v>
      </c>
      <c r="G30" s="15">
        <v>2963</v>
      </c>
      <c r="H30" s="15" t="s">
        <v>75</v>
      </c>
      <c r="I30" s="16">
        <v>41852</v>
      </c>
      <c r="J30" s="15">
        <v>5</v>
      </c>
      <c r="K30" s="17" t="s">
        <v>104</v>
      </c>
      <c r="L30" s="1" t="str">
        <f>"6N4L2J0HYFWDUBS9Q7O5M3"</f>
        <v>6N4L2J0HYFWDUBS9Q7O5M3</v>
      </c>
      <c r="M30" s="2" t="str">
        <f>"J0HYFWDUBS9Q7O5M"</f>
        <v>J0HYFWDUBS9Q7O5M</v>
      </c>
      <c r="N30" s="1" t="s">
        <v>64</v>
      </c>
      <c r="O30" s="1">
        <v>174185</v>
      </c>
    </row>
    <row r="31" spans="1:15 16370:16371" x14ac:dyDescent="0.35">
      <c r="A31" s="18">
        <v>18529</v>
      </c>
      <c r="B31" s="18" t="s">
        <v>590</v>
      </c>
      <c r="C31" s="14" t="s">
        <v>105</v>
      </c>
      <c r="D31" s="15">
        <v>4</v>
      </c>
      <c r="E31" s="15"/>
      <c r="F31" s="15" t="s">
        <v>61</v>
      </c>
      <c r="G31" s="15">
        <v>7418</v>
      </c>
      <c r="H31" s="15" t="s">
        <v>75</v>
      </c>
      <c r="I31" s="16">
        <v>96307</v>
      </c>
      <c r="J31" s="15">
        <v>1</v>
      </c>
      <c r="K31" s="17" t="s">
        <v>106</v>
      </c>
      <c r="L31" s="1" t="str">
        <f>"L2J0HYFWDUBS9Q7O5M3K"</f>
        <v>L2J0HYFWDUBS9Q7O5M3K</v>
      </c>
      <c r="M31" s="2" t="str">
        <f>"YFWDUBS9Q7O5M3K1I"</f>
        <v>YFWDUBS9Q7O5M3K1I</v>
      </c>
      <c r="N31" s="1" t="s">
        <v>64</v>
      </c>
      <c r="O31" s="1">
        <v>5296</v>
      </c>
    </row>
    <row r="32" spans="1:15 16370:16371" x14ac:dyDescent="0.35">
      <c r="A32" s="18">
        <v>63074</v>
      </c>
      <c r="B32" s="18" t="s">
        <v>590</v>
      </c>
      <c r="C32" s="14" t="s">
        <v>107</v>
      </c>
      <c r="D32" s="15">
        <v>9</v>
      </c>
      <c r="E32" s="15"/>
      <c r="F32" s="15" t="s">
        <v>61</v>
      </c>
      <c r="G32" s="15">
        <v>2963</v>
      </c>
      <c r="H32" s="15" t="s">
        <v>75</v>
      </c>
      <c r="I32" s="16">
        <v>41852</v>
      </c>
      <c r="J32" s="15">
        <v>5</v>
      </c>
      <c r="K32" s="17" t="s">
        <v>108</v>
      </c>
      <c r="L32" s="1" t="str">
        <f>"0HYFWDUBS9Q7O5M3K1IZ"</f>
        <v>0HYFWDUBS9Q7O5M3K1IZ</v>
      </c>
      <c r="M32" s="2" t="str">
        <f>"DUBS9Q7O5M3K1IZGX"</f>
        <v>DUBS9Q7O5M3K1IZGX</v>
      </c>
      <c r="N32" s="1" t="s">
        <v>64</v>
      </c>
      <c r="O32" s="1">
        <v>1741</v>
      </c>
    </row>
    <row r="33" spans="1:15" x14ac:dyDescent="0.35">
      <c r="A33" s="18">
        <v>18529</v>
      </c>
      <c r="B33" s="18" t="s">
        <v>590</v>
      </c>
      <c r="C33" s="14" t="s">
        <v>109</v>
      </c>
      <c r="D33" s="15">
        <v>4</v>
      </c>
      <c r="E33" s="15"/>
      <c r="F33" s="15" t="s">
        <v>61</v>
      </c>
      <c r="G33" s="15">
        <v>7418</v>
      </c>
      <c r="H33" s="15" t="s">
        <v>68</v>
      </c>
      <c r="I33" s="16">
        <v>96307</v>
      </c>
      <c r="J33" s="15">
        <v>1</v>
      </c>
      <c r="K33" s="17" t="s">
        <v>110</v>
      </c>
      <c r="M33" s="2" t="str">
        <f>"FWDU"</f>
        <v/>
      </c>
    </row>
    <row r="34" spans="1:15" x14ac:dyDescent="0.35">
      <c r="A34" s="18">
        <v>30741</v>
      </c>
      <c r="B34" s="18" t="s">
        <v>590</v>
      </c>
      <c r="C34" s="14" t="s">
        <v>111</v>
      </c>
      <c r="D34" s="15">
        <v>6</v>
      </c>
      <c r="E34" s="15"/>
      <c r="F34" s="15" t="s">
        <v>61</v>
      </c>
      <c r="G34" s="15">
        <v>9630</v>
      </c>
      <c r="H34" s="15" t="s">
        <v>68</v>
      </c>
      <c r="I34" s="16">
        <v>18529</v>
      </c>
      <c r="J34" s="15">
        <v>2</v>
      </c>
      <c r="K34" s="17" t="s">
        <v>112</v>
      </c>
      <c r="M34" s="2" t="str">
        <f>"R8P6"</f>
        <v/>
      </c>
    </row>
    <row r="35" spans="1:15" x14ac:dyDescent="0.35">
      <c r="A35" s="18">
        <v>52963</v>
      </c>
      <c r="B35" s="18" t="s">
        <v>590</v>
      </c>
      <c r="C35" s="14" t="s">
        <v>113</v>
      </c>
      <c r="D35" s="15">
        <v>8</v>
      </c>
      <c r="E35" s="15"/>
      <c r="F35" s="15" t="s">
        <v>61</v>
      </c>
      <c r="G35" s="15">
        <v>1852</v>
      </c>
      <c r="H35" s="15" t="s">
        <v>114</v>
      </c>
      <c r="I35" s="16">
        <v>30741</v>
      </c>
      <c r="J35" s="15">
        <v>4</v>
      </c>
      <c r="K35" s="17" t="s">
        <v>115</v>
      </c>
      <c r="L35" s="1" t="str">
        <f>"3K1IZGXEVCTAR8P6N4L2"</f>
        <v>3K1IZGXEVCTAR8P6N4L2</v>
      </c>
      <c r="M35" s="2" t="str">
        <f>"GXEVCTAR8P6N4L"</f>
        <v>GXEVCTAR8P6N4L</v>
      </c>
      <c r="N35" s="1" t="s">
        <v>64</v>
      </c>
      <c r="O35" s="1">
        <v>9630</v>
      </c>
    </row>
    <row r="36" spans="1:15" x14ac:dyDescent="0.35">
      <c r="A36" s="18">
        <v>17418</v>
      </c>
      <c r="B36" s="18" t="s">
        <v>590</v>
      </c>
      <c r="C36" s="14" t="s">
        <v>116</v>
      </c>
      <c r="D36" s="15">
        <v>3</v>
      </c>
      <c r="E36" s="15"/>
      <c r="F36" s="15" t="s">
        <v>61</v>
      </c>
      <c r="G36" s="15">
        <v>6307</v>
      </c>
      <c r="H36" s="15" t="s">
        <v>114</v>
      </c>
      <c r="I36" s="16">
        <v>85296</v>
      </c>
      <c r="J36" s="15">
        <v>9</v>
      </c>
      <c r="K36" s="17" t="s">
        <v>117</v>
      </c>
      <c r="L36" s="1" t="str">
        <f>"IZGXEVCTAR8P6N4L2J0H"</f>
        <v>IZGXEVCTAR8P6N4L2J0H</v>
      </c>
      <c r="M36" s="2" t="str">
        <f>"VCTAR8P6N4L2J0HYF"</f>
        <v>VCTAR8P6N4L2J0HYF</v>
      </c>
      <c r="N36" s="1" t="s">
        <v>64</v>
      </c>
      <c r="O36" s="1">
        <v>4185</v>
      </c>
    </row>
    <row r="37" spans="1:15" x14ac:dyDescent="0.35">
      <c r="A37" s="18">
        <v>52963</v>
      </c>
      <c r="B37" s="18" t="s">
        <v>590</v>
      </c>
      <c r="C37" s="14" t="s">
        <v>118</v>
      </c>
      <c r="D37" s="15">
        <v>8</v>
      </c>
      <c r="E37" s="15"/>
      <c r="F37" s="15" t="s">
        <v>61</v>
      </c>
      <c r="G37" s="15">
        <v>1852</v>
      </c>
      <c r="H37" s="15" t="s">
        <v>114</v>
      </c>
      <c r="I37" s="16">
        <v>30741</v>
      </c>
      <c r="J37" s="15">
        <v>4</v>
      </c>
      <c r="K37" s="17" t="s">
        <v>119</v>
      </c>
      <c r="L37" s="1" t="str">
        <f t="shared" ref="L37:L38" si="0">"XEVCTAR8P6N4L2J0HYFW"</f>
        <v>XEVCTAR8P6N4L2J0HYFW</v>
      </c>
      <c r="M37" s="2" t="str">
        <f>"AR8P6N4L2J0HYFW"</f>
        <v>AR8P6N4L2J0HYFW</v>
      </c>
      <c r="N37" s="1" t="s">
        <v>64</v>
      </c>
      <c r="O37" s="1">
        <v>9630</v>
      </c>
    </row>
    <row r="38" spans="1:15" x14ac:dyDescent="0.35">
      <c r="A38" s="18">
        <v>17418</v>
      </c>
      <c r="B38" s="18" t="s">
        <v>590</v>
      </c>
      <c r="C38" s="14" t="s">
        <v>120</v>
      </c>
      <c r="D38" s="15">
        <v>3</v>
      </c>
      <c r="E38" s="15"/>
      <c r="F38" s="15" t="s">
        <v>61</v>
      </c>
      <c r="G38" s="15">
        <v>6307</v>
      </c>
      <c r="H38" s="15" t="s">
        <v>114</v>
      </c>
      <c r="I38" s="16">
        <v>85296</v>
      </c>
      <c r="J38" s="15">
        <v>9</v>
      </c>
      <c r="K38" s="17" t="s">
        <v>121</v>
      </c>
      <c r="L38" s="1" t="str">
        <f t="shared" si="0"/>
        <v>CTAR8P6N4L2J0HYFWDUB</v>
      </c>
      <c r="M38" s="2" t="str">
        <f>"P6N4L2J0HYFWDUBS9"</f>
        <v>P6N4L2J0HYFWDUBS9</v>
      </c>
      <c r="N38" s="1" t="s">
        <v>64</v>
      </c>
      <c r="O38" s="1">
        <v>4185</v>
      </c>
    </row>
    <row r="39" spans="1:15" x14ac:dyDescent="0.35">
      <c r="A39" s="18">
        <v>52963</v>
      </c>
      <c r="B39" s="18" t="s">
        <v>590</v>
      </c>
      <c r="C39" s="14" t="s">
        <v>122</v>
      </c>
      <c r="D39" s="15">
        <v>8</v>
      </c>
      <c r="E39" s="15"/>
      <c r="F39" s="15" t="s">
        <v>61</v>
      </c>
      <c r="G39" s="15">
        <v>1852</v>
      </c>
      <c r="H39" s="15" t="s">
        <v>114</v>
      </c>
      <c r="I39" s="16">
        <v>30741</v>
      </c>
      <c r="J39" s="15">
        <v>4</v>
      </c>
      <c r="K39" s="17" t="s">
        <v>123</v>
      </c>
      <c r="L39" s="1" t="str">
        <f t="shared" ref="L39" si="1">"R8P6N4L2J0HYFWDUB"</f>
        <v>R8P6N4L2J0HYFWDUB</v>
      </c>
      <c r="M39" s="2" t="str">
        <f>"4L2J0HYFW"</f>
        <v>4L2J0HYFW</v>
      </c>
      <c r="N39" s="1" t="s">
        <v>102</v>
      </c>
      <c r="O39" s="1">
        <v>96</v>
      </c>
    </row>
    <row r="40" spans="1:15" x14ac:dyDescent="0.35">
      <c r="A40" s="18">
        <v>17418</v>
      </c>
      <c r="B40" s="18" t="s">
        <v>590</v>
      </c>
      <c r="C40" s="14" t="s">
        <v>124</v>
      </c>
      <c r="D40" s="15">
        <v>3</v>
      </c>
      <c r="E40" s="15"/>
      <c r="F40" s="15" t="s">
        <v>61</v>
      </c>
      <c r="G40" s="15">
        <v>6307</v>
      </c>
      <c r="H40" s="15" t="s">
        <v>68</v>
      </c>
      <c r="I40" s="16">
        <v>85296</v>
      </c>
      <c r="J40" s="15">
        <v>9</v>
      </c>
      <c r="K40" s="17" t="s">
        <v>125</v>
      </c>
      <c r="M40" s="2" t="str">
        <f>"6N4L"</f>
        <v/>
      </c>
    </row>
    <row r="41" spans="1:15" x14ac:dyDescent="0.35">
      <c r="A41" s="18">
        <v>29630</v>
      </c>
      <c r="B41" s="18" t="s">
        <v>590</v>
      </c>
      <c r="C41" s="14" t="s">
        <v>126</v>
      </c>
      <c r="D41" s="15">
        <v>5</v>
      </c>
      <c r="E41" s="15"/>
      <c r="F41" s="15" t="s">
        <v>61</v>
      </c>
      <c r="G41" s="15">
        <v>8529</v>
      </c>
      <c r="H41" s="15" t="s">
        <v>114</v>
      </c>
      <c r="I41" s="16">
        <v>17418</v>
      </c>
      <c r="J41" s="15">
        <v>1</v>
      </c>
      <c r="K41" s="17" t="s">
        <v>127</v>
      </c>
      <c r="L41" s="1" t="str">
        <f t="shared" ref="L41" si="2">"IZGXEVCTAR8P6N4L2J0H"</f>
        <v>IZGXEVCTAR8P6N4L2J0H</v>
      </c>
      <c r="M41" s="2" t="str">
        <f>"VCTAR8P6N4L2J0HYF"</f>
        <v>VCTAR8P6N4L2J0HYF</v>
      </c>
      <c r="N41" s="1" t="s">
        <v>64</v>
      </c>
      <c r="O41" s="1">
        <v>6307</v>
      </c>
    </row>
    <row r="42" spans="1:15" x14ac:dyDescent="0.35">
      <c r="A42" s="18">
        <v>74185</v>
      </c>
      <c r="B42" s="18" t="s">
        <v>590</v>
      </c>
      <c r="C42" s="14" t="s">
        <v>128</v>
      </c>
      <c r="D42" s="15">
        <v>1</v>
      </c>
      <c r="E42" s="15"/>
      <c r="F42" s="15" t="s">
        <v>61</v>
      </c>
      <c r="G42" s="15">
        <v>3074</v>
      </c>
      <c r="H42" s="15" t="s">
        <v>68</v>
      </c>
      <c r="I42" s="16">
        <v>52963</v>
      </c>
      <c r="J42" s="15">
        <v>6</v>
      </c>
      <c r="K42" s="17" t="s">
        <v>129</v>
      </c>
      <c r="M42" s="2" t="str">
        <f>"XEVC"</f>
        <v/>
      </c>
    </row>
    <row r="43" spans="1:15" x14ac:dyDescent="0.35">
      <c r="A43" s="18">
        <v>96307</v>
      </c>
      <c r="B43" s="18" t="s">
        <v>590</v>
      </c>
      <c r="C43" s="14" t="s">
        <v>130</v>
      </c>
      <c r="D43" s="15">
        <v>2</v>
      </c>
      <c r="E43" s="15"/>
      <c r="F43" s="15" t="s">
        <v>61</v>
      </c>
      <c r="G43" s="15">
        <v>5296</v>
      </c>
      <c r="H43" s="15" t="s">
        <v>68</v>
      </c>
      <c r="I43" s="16">
        <v>74185</v>
      </c>
      <c r="J43" s="15">
        <v>8</v>
      </c>
      <c r="K43" s="17" t="s">
        <v>131</v>
      </c>
      <c r="M43" s="2" t="str">
        <f>"9Q7O"</f>
        <v/>
      </c>
    </row>
    <row r="44" spans="1:15" x14ac:dyDescent="0.35">
      <c r="A44" s="18">
        <v>18529</v>
      </c>
      <c r="B44" s="18" t="s">
        <v>590</v>
      </c>
      <c r="C44" s="14" t="s">
        <v>132</v>
      </c>
      <c r="D44" s="15">
        <v>4</v>
      </c>
      <c r="E44" s="15"/>
      <c r="F44" s="15" t="s">
        <v>61</v>
      </c>
      <c r="G44" s="15">
        <v>7418</v>
      </c>
      <c r="H44" s="15" t="s">
        <v>68</v>
      </c>
      <c r="I44" s="16">
        <v>96307</v>
      </c>
      <c r="J44" s="15">
        <v>1</v>
      </c>
      <c r="K44" s="17" t="s">
        <v>133</v>
      </c>
      <c r="M44" s="2" t="str">
        <f>"L2J0"</f>
        <v/>
      </c>
    </row>
    <row r="45" spans="1:15" x14ac:dyDescent="0.35">
      <c r="A45" s="18">
        <v>30741</v>
      </c>
      <c r="B45" s="18" t="s">
        <v>590</v>
      </c>
      <c r="C45" s="14" t="s">
        <v>134</v>
      </c>
      <c r="D45" s="15">
        <v>6</v>
      </c>
      <c r="E45" s="15"/>
      <c r="F45" s="15" t="s">
        <v>61</v>
      </c>
      <c r="G45" s="15">
        <v>9630</v>
      </c>
      <c r="H45" s="15" t="s">
        <v>135</v>
      </c>
      <c r="I45" s="16">
        <v>18529</v>
      </c>
      <c r="J45" s="15">
        <v>2</v>
      </c>
      <c r="K45" s="17" t="s">
        <v>136</v>
      </c>
      <c r="L45" s="1" t="str">
        <f t="shared" ref="L45:L51" si="3">"XEVCTAR8P6N4L2J0H"</f>
        <v>XEVCTAR8P6N4L2J0H</v>
      </c>
      <c r="M45" s="2" t="str">
        <f>"AR8P6N4L2"</f>
        <v>AR8P6N4L2</v>
      </c>
      <c r="N45" s="1" t="s">
        <v>102</v>
      </c>
      <c r="O45" s="1">
        <v>74</v>
      </c>
    </row>
    <row r="46" spans="1:15" x14ac:dyDescent="0.35">
      <c r="A46" s="18">
        <v>85296</v>
      </c>
      <c r="B46" s="18" t="s">
        <v>590</v>
      </c>
      <c r="C46" s="14" t="s">
        <v>137</v>
      </c>
      <c r="D46" s="15">
        <v>1</v>
      </c>
      <c r="E46" s="15"/>
      <c r="F46" s="15" t="s">
        <v>61</v>
      </c>
      <c r="G46" s="15">
        <v>4185</v>
      </c>
      <c r="H46" s="15" t="s">
        <v>135</v>
      </c>
      <c r="I46" s="16">
        <v>63074</v>
      </c>
      <c r="J46" s="15">
        <v>7</v>
      </c>
      <c r="K46" s="17" t="s">
        <v>138</v>
      </c>
      <c r="L46" s="1" t="str">
        <f t="shared" si="3"/>
        <v>CTAR8P6N4L2J0HYFWDUB</v>
      </c>
      <c r="M46" s="2" t="str">
        <f>"P6N4L2J0HYFWDUBS9"</f>
        <v>P6N4L2J0HYFWDUBS9</v>
      </c>
      <c r="N46" s="1" t="s">
        <v>64</v>
      </c>
      <c r="O46" s="1">
        <v>2963</v>
      </c>
    </row>
    <row r="47" spans="1:15" x14ac:dyDescent="0.35">
      <c r="A47" s="18">
        <v>30741</v>
      </c>
      <c r="B47" s="18" t="s">
        <v>590</v>
      </c>
      <c r="C47" s="14" t="s">
        <v>139</v>
      </c>
      <c r="D47" s="15">
        <v>6</v>
      </c>
      <c r="E47" s="15"/>
      <c r="F47" s="15" t="s">
        <v>61</v>
      </c>
      <c r="G47" s="15">
        <v>9630</v>
      </c>
      <c r="H47" s="15" t="s">
        <v>135</v>
      </c>
      <c r="I47" s="16">
        <v>18529</v>
      </c>
      <c r="J47" s="15">
        <v>2</v>
      </c>
      <c r="K47" s="17" t="s">
        <v>140</v>
      </c>
      <c r="L47" s="1" t="str">
        <f t="shared" si="3"/>
        <v>R8P6N4L2J0HYFWDUBS9Q</v>
      </c>
      <c r="M47" s="2" t="str">
        <f>"4L2J0HYFWDUBS9Q7O"</f>
        <v>4L2J0HYFWDUBS9Q7O</v>
      </c>
      <c r="N47" s="1" t="s">
        <v>64</v>
      </c>
      <c r="O47" s="18">
        <v>7418</v>
      </c>
    </row>
    <row r="48" spans="1:15" x14ac:dyDescent="0.35">
      <c r="A48" s="18">
        <v>85296</v>
      </c>
      <c r="B48" s="18" t="s">
        <v>590</v>
      </c>
      <c r="C48" s="14" t="s">
        <v>141</v>
      </c>
      <c r="D48" s="15">
        <v>1</v>
      </c>
      <c r="E48" s="15"/>
      <c r="F48" s="15" t="s">
        <v>61</v>
      </c>
      <c r="G48" s="15">
        <v>4185</v>
      </c>
      <c r="H48" s="15" t="s">
        <v>142</v>
      </c>
      <c r="I48" s="16">
        <v>63074</v>
      </c>
      <c r="J48" s="15">
        <v>7</v>
      </c>
      <c r="K48" s="17" t="s">
        <v>143</v>
      </c>
      <c r="L48" s="1" t="str">
        <f t="shared" si="3"/>
        <v>6N4L2J0HYFWDUBS9Q</v>
      </c>
      <c r="M48" s="2" t="str">
        <f>"J0HYFWDUB"</f>
        <v>J0HYFWDUB</v>
      </c>
      <c r="N48" s="1" t="s">
        <v>102</v>
      </c>
      <c r="O48" s="1">
        <v>29</v>
      </c>
    </row>
    <row r="49" spans="1:15" x14ac:dyDescent="0.35">
      <c r="A49" s="18">
        <v>30741</v>
      </c>
      <c r="B49" s="18" t="s">
        <v>590</v>
      </c>
      <c r="C49" s="14" t="s">
        <v>144</v>
      </c>
      <c r="D49" s="15">
        <v>6</v>
      </c>
      <c r="E49" s="15"/>
      <c r="F49" s="15" t="s">
        <v>61</v>
      </c>
      <c r="G49" s="15">
        <v>9630</v>
      </c>
      <c r="H49" s="15" t="s">
        <v>142</v>
      </c>
      <c r="I49" s="16">
        <v>18529</v>
      </c>
      <c r="J49" s="15">
        <v>2</v>
      </c>
      <c r="K49" s="17" t="s">
        <v>145</v>
      </c>
      <c r="L49" s="1" t="str">
        <f t="shared" si="3"/>
        <v>L2J0HYFWDUBS9Q7O5M3K</v>
      </c>
      <c r="M49" s="2" t="str">
        <f>"YFWDUBS9Q7O5M3K1I"</f>
        <v>YFWDUBS9Q7O5M3K1I</v>
      </c>
      <c r="N49" s="1" t="s">
        <v>64</v>
      </c>
      <c r="O49" s="18">
        <v>7418</v>
      </c>
    </row>
    <row r="50" spans="1:15" x14ac:dyDescent="0.35">
      <c r="A50" s="18">
        <v>85296</v>
      </c>
      <c r="B50" s="18" t="s">
        <v>590</v>
      </c>
      <c r="C50" s="14" t="s">
        <v>146</v>
      </c>
      <c r="D50" s="15">
        <v>1</v>
      </c>
      <c r="E50" s="15"/>
      <c r="F50" s="15" t="s">
        <v>61</v>
      </c>
      <c r="G50" s="15">
        <v>4185</v>
      </c>
      <c r="H50" s="15" t="s">
        <v>142</v>
      </c>
      <c r="I50" s="16">
        <v>63074</v>
      </c>
      <c r="J50" s="15">
        <v>7</v>
      </c>
      <c r="K50" s="17" t="s">
        <v>147</v>
      </c>
      <c r="L50" s="1" t="str">
        <f t="shared" si="3"/>
        <v>0HYFWDUBS9Q7O5M3K1IZ</v>
      </c>
      <c r="M50" s="2" t="str">
        <f>"DUBS9Q7O5M3K1IZGX"</f>
        <v>DUBS9Q7O5M3K1IZGX</v>
      </c>
      <c r="N50" s="1" t="s">
        <v>64</v>
      </c>
      <c r="O50" s="18">
        <v>2963</v>
      </c>
    </row>
    <row r="51" spans="1:15" x14ac:dyDescent="0.35">
      <c r="A51" s="18">
        <v>30741</v>
      </c>
      <c r="B51" s="18" t="s">
        <v>590</v>
      </c>
      <c r="C51" s="14" t="s">
        <v>148</v>
      </c>
      <c r="D51" s="15">
        <v>6</v>
      </c>
      <c r="E51" s="15"/>
      <c r="F51" s="15" t="s">
        <v>61</v>
      </c>
      <c r="G51" s="15">
        <v>9630</v>
      </c>
      <c r="H51" s="15" t="s">
        <v>142</v>
      </c>
      <c r="I51" s="16">
        <v>18529</v>
      </c>
      <c r="J51" s="15">
        <v>2</v>
      </c>
      <c r="K51" s="17" t="s">
        <v>149</v>
      </c>
      <c r="L51" s="1" t="str">
        <f t="shared" si="3"/>
        <v>FWDUBS9Q7O5M3K1IZGXE</v>
      </c>
      <c r="M51" s="2" t="str">
        <f>"S9Q7O5M3K1IZGXE"</f>
        <v>S9Q7O5M3K1IZGXE</v>
      </c>
      <c r="N51" s="1" t="s">
        <v>64</v>
      </c>
      <c r="O51" s="18">
        <v>7418</v>
      </c>
    </row>
    <row r="52" spans="1:15" x14ac:dyDescent="0.35">
      <c r="A52" s="18">
        <v>85296</v>
      </c>
      <c r="B52" s="18" t="s">
        <v>590</v>
      </c>
      <c r="C52" s="14" t="s">
        <v>150</v>
      </c>
      <c r="D52" s="15">
        <v>1</v>
      </c>
      <c r="E52" s="15"/>
      <c r="F52" s="15" t="s">
        <v>61</v>
      </c>
      <c r="G52" s="15">
        <v>4185</v>
      </c>
      <c r="H52" s="15" t="s">
        <v>68</v>
      </c>
      <c r="I52" s="16">
        <v>63074</v>
      </c>
      <c r="J52" s="15">
        <v>7</v>
      </c>
      <c r="K52" s="17" t="s">
        <v>151</v>
      </c>
      <c r="M52" s="2" t="str">
        <f>"UBS9"</f>
        <v/>
      </c>
    </row>
    <row r="53" spans="1:15" x14ac:dyDescent="0.35">
      <c r="A53" s="18">
        <v>17418</v>
      </c>
      <c r="B53" s="18" t="s">
        <v>590</v>
      </c>
      <c r="C53" s="14" t="s">
        <v>152</v>
      </c>
      <c r="D53" s="15">
        <v>3</v>
      </c>
      <c r="E53" s="15"/>
      <c r="F53" s="15" t="s">
        <v>61</v>
      </c>
      <c r="G53" s="15">
        <v>6307</v>
      </c>
      <c r="H53" s="15" t="s">
        <v>68</v>
      </c>
      <c r="I53" s="16">
        <v>85296</v>
      </c>
      <c r="J53" s="15">
        <v>9</v>
      </c>
      <c r="K53" s="17" t="s">
        <v>153</v>
      </c>
      <c r="M53" s="2" t="str">
        <f>"6N4L"</f>
        <v/>
      </c>
    </row>
    <row r="54" spans="1:15" x14ac:dyDescent="0.35">
      <c r="A54" s="18">
        <v>29630</v>
      </c>
      <c r="B54" s="18" t="s">
        <v>590</v>
      </c>
      <c r="C54" s="14" t="s">
        <v>154</v>
      </c>
      <c r="D54" s="15">
        <v>5</v>
      </c>
      <c r="E54" s="15"/>
      <c r="F54" s="15" t="s">
        <v>61</v>
      </c>
      <c r="G54" s="15">
        <v>8529</v>
      </c>
      <c r="H54" s="15" t="s">
        <v>155</v>
      </c>
      <c r="I54" s="16">
        <v>17418</v>
      </c>
      <c r="J54" s="15">
        <v>1</v>
      </c>
      <c r="K54" s="17" t="s">
        <v>156</v>
      </c>
      <c r="L54" s="1" t="str">
        <f>"IZGXEVCTAR8P6N4L2J0H"</f>
        <v>IZGXEVCTAR8P6N4L2J0H</v>
      </c>
      <c r="M54" s="2" t="str">
        <f>"VCTAR8P6N4L2J0"</f>
        <v>VCTAR8P6N4L2J0</v>
      </c>
      <c r="N54" s="1" t="s">
        <v>64</v>
      </c>
      <c r="O54" s="1">
        <v>6307</v>
      </c>
    </row>
    <row r="55" spans="1:15" x14ac:dyDescent="0.35">
      <c r="A55" s="18">
        <v>74185</v>
      </c>
      <c r="B55" s="18" t="s">
        <v>590</v>
      </c>
      <c r="C55" s="14" t="s">
        <v>157</v>
      </c>
      <c r="D55" s="15">
        <v>1</v>
      </c>
      <c r="E55" s="15"/>
      <c r="F55" s="15" t="s">
        <v>61</v>
      </c>
      <c r="G55" s="15">
        <v>3074</v>
      </c>
      <c r="H55" s="15" t="s">
        <v>155</v>
      </c>
      <c r="I55" s="16">
        <v>52963</v>
      </c>
      <c r="J55" s="15">
        <v>6</v>
      </c>
      <c r="K55" s="17" t="s">
        <v>158</v>
      </c>
      <c r="L55" s="1" t="str">
        <f>"XEVCTAR8P6N4L2J0HYFW"</f>
        <v>XEVCTAR8P6N4L2J0HYFW</v>
      </c>
      <c r="M55" s="2" t="str">
        <f>"AR8P6N4L2J0HYFW"</f>
        <v>AR8P6N4L2J0HYFW</v>
      </c>
      <c r="N55" s="1" t="s">
        <v>64</v>
      </c>
      <c r="O55" s="1">
        <v>1852</v>
      </c>
    </row>
    <row r="56" spans="1:15" x14ac:dyDescent="0.35">
      <c r="A56" s="18">
        <v>29630</v>
      </c>
      <c r="B56" s="18" t="s">
        <v>590</v>
      </c>
      <c r="C56" s="14" t="s">
        <v>159</v>
      </c>
      <c r="D56" s="15">
        <v>5</v>
      </c>
      <c r="E56" s="15"/>
      <c r="F56" s="15" t="s">
        <v>61</v>
      </c>
      <c r="G56" s="15">
        <v>8529</v>
      </c>
      <c r="H56" s="15" t="s">
        <v>155</v>
      </c>
      <c r="I56" s="16">
        <v>17418</v>
      </c>
      <c r="J56" s="15">
        <v>1</v>
      </c>
      <c r="K56" s="17" t="s">
        <v>160</v>
      </c>
      <c r="L56" s="1" t="str">
        <f>"CTAR8P6N4L2J0HYFWDUB"</f>
        <v>CTAR8P6N4L2J0HYFWDUB</v>
      </c>
      <c r="M56" s="2" t="str">
        <f>"P6N4L2J0HYFWDUBS"</f>
        <v>P6N4L2J0HYFWDUBS</v>
      </c>
      <c r="N56" s="1" t="s">
        <v>64</v>
      </c>
      <c r="O56" s="1">
        <v>6307</v>
      </c>
    </row>
    <row r="57" spans="1:15" x14ac:dyDescent="0.35">
      <c r="A57" s="18">
        <v>74185</v>
      </c>
      <c r="B57" s="18" t="s">
        <v>590</v>
      </c>
      <c r="C57" s="14" t="s">
        <v>161</v>
      </c>
      <c r="D57" s="15">
        <v>1</v>
      </c>
      <c r="E57" s="15"/>
      <c r="F57" s="15" t="s">
        <v>61</v>
      </c>
      <c r="G57" s="15">
        <v>3074</v>
      </c>
      <c r="H57" s="15" t="s">
        <v>155</v>
      </c>
      <c r="I57" s="16">
        <v>52963</v>
      </c>
      <c r="J57" s="15">
        <v>6</v>
      </c>
      <c r="K57" s="17" t="s">
        <v>162</v>
      </c>
      <c r="L57" s="1" t="str">
        <f>"R8P6N4L2J0HYFWDUBS9Q"</f>
        <v>R8P6N4L2J0HYFWDUBS9Q</v>
      </c>
      <c r="M57" s="2" t="str">
        <f>"4L2J0HYFWDUBS9Q"</f>
        <v>4L2J0HYFWDUBS9Q</v>
      </c>
      <c r="N57" s="1" t="s">
        <v>64</v>
      </c>
      <c r="O57" s="1">
        <v>1852</v>
      </c>
    </row>
    <row r="58" spans="1:15" x14ac:dyDescent="0.35">
      <c r="A58" s="18">
        <v>29630</v>
      </c>
      <c r="B58" s="18" t="s">
        <v>590</v>
      </c>
      <c r="C58" s="14" t="s">
        <v>163</v>
      </c>
      <c r="D58" s="15">
        <v>5</v>
      </c>
      <c r="E58" s="15"/>
      <c r="F58" s="15" t="s">
        <v>61</v>
      </c>
      <c r="G58" s="15">
        <v>8529</v>
      </c>
      <c r="H58" s="15" t="s">
        <v>68</v>
      </c>
      <c r="I58" s="16">
        <v>17418</v>
      </c>
      <c r="J58" s="15">
        <v>1</v>
      </c>
      <c r="K58" s="17" t="s">
        <v>164</v>
      </c>
    </row>
    <row r="59" spans="1:15" x14ac:dyDescent="0.35">
      <c r="A59" s="18">
        <v>30741</v>
      </c>
      <c r="B59" s="18" t="s">
        <v>590</v>
      </c>
      <c r="C59" s="14" t="s">
        <v>165</v>
      </c>
      <c r="D59" s="15">
        <v>6</v>
      </c>
      <c r="E59" s="15"/>
      <c r="F59" s="15" t="s">
        <v>61</v>
      </c>
      <c r="G59" s="15">
        <v>9630</v>
      </c>
      <c r="H59" s="15" t="s">
        <v>68</v>
      </c>
      <c r="I59" s="16">
        <v>18529</v>
      </c>
      <c r="J59" s="15">
        <v>2</v>
      </c>
      <c r="K59" s="17" t="s">
        <v>166</v>
      </c>
      <c r="M59" s="2" t="str">
        <f>"5M3K"</f>
        <v/>
      </c>
    </row>
    <row r="60" spans="1:15" x14ac:dyDescent="0.35">
      <c r="A60" s="18">
        <v>52963</v>
      </c>
      <c r="B60" s="18" t="s">
        <v>590</v>
      </c>
      <c r="C60" s="14" t="s">
        <v>167</v>
      </c>
      <c r="D60" s="15">
        <v>8</v>
      </c>
      <c r="E60" s="15"/>
      <c r="F60" s="15" t="s">
        <v>61</v>
      </c>
      <c r="G60" s="15">
        <v>1852</v>
      </c>
      <c r="H60" s="15" t="s">
        <v>135</v>
      </c>
      <c r="I60" s="16">
        <v>30741</v>
      </c>
      <c r="J60" s="15">
        <v>4</v>
      </c>
      <c r="K60" s="17" t="s">
        <v>168</v>
      </c>
      <c r="L60" s="1" t="str">
        <f>"HYFWDUBS9Q7O5M3K1IZG"</f>
        <v>HYFWDUBS9Q7O5M3K1IZG</v>
      </c>
      <c r="M60" s="2" t="str">
        <f>"UBS9Q7O5M3K1IZGXE"</f>
        <v>UBS9Q7O5M3K1IZGXE</v>
      </c>
      <c r="N60" s="1" t="s">
        <v>64</v>
      </c>
      <c r="O60" s="1">
        <v>9630</v>
      </c>
    </row>
    <row r="61" spans="1:15" x14ac:dyDescent="0.35">
      <c r="A61" s="18">
        <v>17418</v>
      </c>
      <c r="B61" s="18" t="s">
        <v>590</v>
      </c>
      <c r="C61" s="14" t="s">
        <v>169</v>
      </c>
      <c r="D61" s="15">
        <v>3</v>
      </c>
      <c r="E61" s="15"/>
      <c r="F61" s="15" t="s">
        <v>61</v>
      </c>
      <c r="G61" s="15">
        <v>6307</v>
      </c>
      <c r="H61" s="15" t="s">
        <v>170</v>
      </c>
      <c r="I61" s="16">
        <v>85296</v>
      </c>
      <c r="J61" s="15">
        <v>9</v>
      </c>
      <c r="K61" s="17" t="s">
        <v>171</v>
      </c>
      <c r="L61" s="1" t="str">
        <f>"WDUBS9Q7O5M3K1IZGXEV"</f>
        <v>WDUBS9Q7O5M3K1IZGXEV</v>
      </c>
      <c r="M61" s="2" t="str">
        <f>"9Q7O5M3K1IZGXEVCTA"</f>
        <v>9Q7O5M3K1IZGXEVCTA</v>
      </c>
      <c r="N61" s="1" t="s">
        <v>64</v>
      </c>
      <c r="O61" s="1">
        <v>4185</v>
      </c>
    </row>
    <row r="62" spans="1:15" x14ac:dyDescent="0.35">
      <c r="A62" s="18">
        <v>52963</v>
      </c>
      <c r="B62" s="18" t="s">
        <v>590</v>
      </c>
      <c r="C62" s="14" t="s">
        <v>172</v>
      </c>
      <c r="D62" s="15">
        <v>8</v>
      </c>
      <c r="E62" s="15"/>
      <c r="F62" s="15" t="s">
        <v>61</v>
      </c>
      <c r="G62" s="15">
        <v>1852</v>
      </c>
      <c r="H62" s="15" t="s">
        <v>170</v>
      </c>
      <c r="I62" s="16">
        <v>30741</v>
      </c>
      <c r="J62" s="15">
        <v>4</v>
      </c>
      <c r="K62" s="17" t="s">
        <v>173</v>
      </c>
      <c r="L62" s="1" t="str">
        <f t="shared" ref="L62:L64" si="4">"BS9Q7O5M3K1IZGXEVCTA"</f>
        <v>BS9Q7O5M3K1IZGXEVCTA</v>
      </c>
      <c r="M62" s="2" t="str">
        <f>"O5M3K1IZGXEVCTAR"</f>
        <v>O5M3K1IZGXEVCTAR</v>
      </c>
      <c r="N62" s="1" t="s">
        <v>64</v>
      </c>
      <c r="O62" s="1">
        <v>9630</v>
      </c>
    </row>
    <row r="63" spans="1:15" x14ac:dyDescent="0.35">
      <c r="A63" s="18">
        <v>17418</v>
      </c>
      <c r="B63" s="18" t="s">
        <v>590</v>
      </c>
      <c r="C63" s="14" t="s">
        <v>174</v>
      </c>
      <c r="D63" s="15">
        <v>3</v>
      </c>
      <c r="E63" s="15"/>
      <c r="F63" s="15" t="s">
        <v>61</v>
      </c>
      <c r="G63" s="15">
        <v>6307</v>
      </c>
      <c r="H63" s="15" t="s">
        <v>170</v>
      </c>
      <c r="I63" s="16">
        <v>85296</v>
      </c>
      <c r="J63" s="15">
        <v>9</v>
      </c>
      <c r="K63" s="17" t="s">
        <v>175</v>
      </c>
      <c r="L63" s="1" t="str">
        <f t="shared" si="4"/>
        <v>Q7O5M3K1IZGXEVCTAR8P</v>
      </c>
      <c r="M63" s="2" t="str">
        <f>"3K1IZGXEVCTAR8P6N"</f>
        <v>3K1IZGXEVCTAR8P6N</v>
      </c>
      <c r="N63" s="1" t="s">
        <v>64</v>
      </c>
      <c r="O63" s="1">
        <v>4185</v>
      </c>
    </row>
    <row r="64" spans="1:15" x14ac:dyDescent="0.35">
      <c r="A64" s="18">
        <v>52963</v>
      </c>
      <c r="B64" s="18" t="s">
        <v>590</v>
      </c>
      <c r="C64" s="14" t="s">
        <v>176</v>
      </c>
      <c r="D64" s="15">
        <v>8</v>
      </c>
      <c r="E64" s="15"/>
      <c r="F64" s="15" t="s">
        <v>61</v>
      </c>
      <c r="G64" s="15">
        <v>1852</v>
      </c>
      <c r="H64" s="15" t="s">
        <v>142</v>
      </c>
      <c r="I64" s="16">
        <v>30741</v>
      </c>
      <c r="J64" s="15">
        <v>4</v>
      </c>
      <c r="K64" s="17" t="s">
        <v>177</v>
      </c>
      <c r="L64" s="1" t="str">
        <f t="shared" si="4"/>
        <v>5M3K1IZGXEVCTAR8P6N4</v>
      </c>
      <c r="M64" s="2" t="str">
        <f>"IZGXEVCTAR8P6N4L2"</f>
        <v>IZGXEVCTAR8P6N4L2</v>
      </c>
      <c r="N64" s="1" t="s">
        <v>64</v>
      </c>
      <c r="O64" s="18">
        <v>9630</v>
      </c>
    </row>
    <row r="65" spans="1:15" x14ac:dyDescent="0.35">
      <c r="A65" s="18">
        <v>17418</v>
      </c>
      <c r="B65" s="18" t="s">
        <v>590</v>
      </c>
      <c r="C65" s="14" t="s">
        <v>178</v>
      </c>
      <c r="D65" s="15">
        <v>3</v>
      </c>
      <c r="E65" s="15"/>
      <c r="F65" s="15" t="s">
        <v>61</v>
      </c>
      <c r="G65" s="15">
        <v>6307</v>
      </c>
      <c r="H65" s="15" t="s">
        <v>170</v>
      </c>
      <c r="I65" s="16">
        <v>85296</v>
      </c>
      <c r="J65" s="15">
        <v>9</v>
      </c>
      <c r="K65" s="17" t="s">
        <v>179</v>
      </c>
      <c r="L65" s="1" t="str">
        <f t="shared" ref="L65" si="5">"K1IZGXEVCTAR8P6N4L2J"</f>
        <v>K1IZGXEVCTAR8P6N4L2J</v>
      </c>
      <c r="M65" s="2" t="str">
        <f>"XEVCTAR8P6N4L2J0H"</f>
        <v>XEVCTAR8P6N4L2J0H</v>
      </c>
      <c r="N65" s="1" t="s">
        <v>64</v>
      </c>
      <c r="O65" s="1">
        <v>4185</v>
      </c>
    </row>
    <row r="66" spans="1:15" x14ac:dyDescent="0.35">
      <c r="A66" s="18">
        <v>52963</v>
      </c>
      <c r="B66" s="18" t="s">
        <v>590</v>
      </c>
      <c r="C66" s="14" t="s">
        <v>180</v>
      </c>
      <c r="D66" s="15">
        <v>8</v>
      </c>
      <c r="E66" s="15"/>
      <c r="F66" s="15" t="s">
        <v>61</v>
      </c>
      <c r="G66" s="15">
        <v>1852</v>
      </c>
      <c r="H66" s="15" t="s">
        <v>68</v>
      </c>
      <c r="I66" s="16">
        <v>30741</v>
      </c>
      <c r="J66" s="15">
        <v>4</v>
      </c>
      <c r="K66" s="17" t="s">
        <v>181</v>
      </c>
      <c r="M66" s="2" t="str">
        <f>"ZGXE"</f>
        <v/>
      </c>
    </row>
    <row r="67" spans="1:15" x14ac:dyDescent="0.35">
      <c r="A67" s="18">
        <v>74185</v>
      </c>
      <c r="B67" s="18" t="s">
        <v>590</v>
      </c>
      <c r="C67" s="14" t="s">
        <v>182</v>
      </c>
      <c r="D67" s="15">
        <v>1</v>
      </c>
      <c r="E67" s="15"/>
      <c r="F67" s="15" t="s">
        <v>61</v>
      </c>
      <c r="G67" s="15">
        <v>3074</v>
      </c>
      <c r="H67" s="15" t="s">
        <v>68</v>
      </c>
      <c r="I67" s="16">
        <v>52963</v>
      </c>
      <c r="J67" s="15">
        <v>6</v>
      </c>
      <c r="K67" s="17" t="s">
        <v>183</v>
      </c>
      <c r="M67" s="2" t="str">
        <f>"BS9Q"</f>
        <v/>
      </c>
    </row>
    <row r="68" spans="1:15" x14ac:dyDescent="0.35">
      <c r="A68" s="18">
        <v>96307</v>
      </c>
      <c r="B68" s="18" t="s">
        <v>590</v>
      </c>
      <c r="C68" s="14" t="s">
        <v>184</v>
      </c>
      <c r="D68" s="15">
        <v>2</v>
      </c>
      <c r="E68" s="15"/>
      <c r="F68" s="15" t="s">
        <v>61</v>
      </c>
      <c r="G68" s="15">
        <v>5296</v>
      </c>
      <c r="H68" s="15" t="s">
        <v>185</v>
      </c>
      <c r="I68" s="16">
        <v>74185</v>
      </c>
      <c r="J68" s="15">
        <v>8</v>
      </c>
      <c r="K68" s="17" t="s">
        <v>186</v>
      </c>
      <c r="L68" s="1" t="str">
        <f>"N4L2J0HYFWDUBS9Q7O5M"</f>
        <v>N4L2J0HYFWDUBS9Q7O5M</v>
      </c>
      <c r="M68" s="2" t="str">
        <f>"0HYFWDUBS9Q7O5M"</f>
        <v>0HYFWDUBS9Q7O5M</v>
      </c>
      <c r="N68" s="1" t="s">
        <v>64</v>
      </c>
      <c r="O68" s="1">
        <v>3074</v>
      </c>
    </row>
    <row r="69" spans="1:15" x14ac:dyDescent="0.35">
      <c r="A69" s="18">
        <v>41852</v>
      </c>
      <c r="B69" s="18" t="s">
        <v>590</v>
      </c>
      <c r="C69" s="14" t="s">
        <v>187</v>
      </c>
      <c r="D69" s="15">
        <v>7</v>
      </c>
      <c r="E69" s="15"/>
      <c r="F69" s="15" t="s">
        <v>61</v>
      </c>
      <c r="G69" s="15">
        <v>1741</v>
      </c>
      <c r="H69" s="15" t="s">
        <v>185</v>
      </c>
      <c r="I69" s="16">
        <v>29630</v>
      </c>
      <c r="J69" s="15">
        <v>3</v>
      </c>
      <c r="K69" s="17" t="s">
        <v>188</v>
      </c>
      <c r="L69" s="1" t="str">
        <f t="shared" ref="L69:L70" si="6">"2J0HYFWDUBS9Q7O5M3K1"</f>
        <v>2J0HYFWDUBS9Q7O5M3K1</v>
      </c>
      <c r="M69" s="2" t="str">
        <f>"FWDUBS9Q7O5M3K1IZ"</f>
        <v>FWDUBS9Q7O5M3K1IZ</v>
      </c>
      <c r="N69" s="1" t="s">
        <v>64</v>
      </c>
      <c r="O69" s="1">
        <v>8529</v>
      </c>
    </row>
    <row r="70" spans="1:15" x14ac:dyDescent="0.35">
      <c r="A70" s="18">
        <v>96307</v>
      </c>
      <c r="B70" s="18" t="s">
        <v>590</v>
      </c>
      <c r="C70" s="14" t="s">
        <v>189</v>
      </c>
      <c r="D70" s="15">
        <v>2</v>
      </c>
      <c r="E70" s="15"/>
      <c r="F70" s="15" t="s">
        <v>61</v>
      </c>
      <c r="G70" s="15">
        <v>5296</v>
      </c>
      <c r="H70" s="15" t="s">
        <v>185</v>
      </c>
      <c r="I70" s="16">
        <v>74185</v>
      </c>
      <c r="J70" s="15">
        <v>8</v>
      </c>
      <c r="K70" s="17" t="s">
        <v>190</v>
      </c>
      <c r="L70" s="1" t="str">
        <f t="shared" si="6"/>
        <v>HYFWDUBS9Q7O5M3K1IZG</v>
      </c>
      <c r="M70" s="2" t="str">
        <f>"UBS9Q7O5M3K1IZGXE"</f>
        <v>UBS9Q7O5M3K1IZGXE</v>
      </c>
      <c r="N70" s="1" t="s">
        <v>64</v>
      </c>
      <c r="O70" s="1">
        <v>3074</v>
      </c>
    </row>
    <row r="71" spans="1:15" x14ac:dyDescent="0.35">
      <c r="A71" s="18">
        <v>41852</v>
      </c>
      <c r="B71" s="18" t="s">
        <v>590</v>
      </c>
      <c r="C71" s="14" t="s">
        <v>191</v>
      </c>
      <c r="D71" s="15">
        <v>7</v>
      </c>
      <c r="E71" s="15"/>
      <c r="F71" s="15" t="s">
        <v>61</v>
      </c>
      <c r="G71" s="15">
        <v>1741</v>
      </c>
      <c r="H71" s="15" t="s">
        <v>185</v>
      </c>
      <c r="I71" s="16">
        <v>29630</v>
      </c>
      <c r="J71" s="15">
        <v>3</v>
      </c>
      <c r="K71" s="17" t="s">
        <v>192</v>
      </c>
      <c r="L71" s="1" t="str">
        <f t="shared" ref="L71" si="7">"WDUBS9Q7O5M3K1IZGXEV"</f>
        <v>WDUBS9Q7O5M3K1IZGXEV</v>
      </c>
      <c r="M71" s="2" t="str">
        <f>"9Q7O5M3K1IZGXEV"</f>
        <v>9Q7O5M3K1IZGXEV</v>
      </c>
      <c r="N71" s="1" t="s">
        <v>64</v>
      </c>
      <c r="O71" s="1">
        <v>8529</v>
      </c>
    </row>
    <row r="72" spans="1:15" x14ac:dyDescent="0.35">
      <c r="A72" s="18">
        <v>96307</v>
      </c>
      <c r="B72" s="18" t="s">
        <v>590</v>
      </c>
      <c r="C72" s="14" t="s">
        <v>193</v>
      </c>
      <c r="D72" s="15">
        <v>2</v>
      </c>
      <c r="E72" s="15"/>
      <c r="F72" s="15" t="s">
        <v>61</v>
      </c>
      <c r="G72" s="15">
        <v>5296</v>
      </c>
      <c r="H72" s="15" t="s">
        <v>68</v>
      </c>
      <c r="I72" s="16">
        <v>74185</v>
      </c>
      <c r="J72" s="15">
        <v>8</v>
      </c>
      <c r="K72" s="17" t="s">
        <v>194</v>
      </c>
      <c r="M72" s="2" t="str">
        <f>"BS9Q"</f>
        <v/>
      </c>
    </row>
    <row r="73" spans="1:15" x14ac:dyDescent="0.35">
      <c r="A73" s="18">
        <v>18529</v>
      </c>
      <c r="B73" s="18" t="s">
        <v>590</v>
      </c>
      <c r="C73" s="14" t="s">
        <v>195</v>
      </c>
      <c r="D73" s="15">
        <v>4</v>
      </c>
      <c r="E73" s="15"/>
      <c r="F73" s="15" t="s">
        <v>61</v>
      </c>
      <c r="G73" s="15">
        <v>7418</v>
      </c>
      <c r="H73" s="15" t="s">
        <v>185</v>
      </c>
      <c r="I73" s="16">
        <v>96307</v>
      </c>
      <c r="J73" s="15">
        <v>1</v>
      </c>
      <c r="K73" s="17" t="s">
        <v>196</v>
      </c>
      <c r="L73" s="1" t="str">
        <f t="shared" ref="L73" si="8">"N4L2J0HYFWDUBS9Q7O5M"</f>
        <v>N4L2J0HYFWDUBS9Q7O5M</v>
      </c>
      <c r="M73" s="2" t="str">
        <f>"0HYFWDUBS9Q7O5M3K"</f>
        <v>0HYFWDUBS9Q7O5M3K</v>
      </c>
      <c r="N73" s="1" t="s">
        <v>64</v>
      </c>
      <c r="O73" s="1">
        <v>5296</v>
      </c>
    </row>
    <row r="74" spans="1:15" x14ac:dyDescent="0.35">
      <c r="A74" s="18">
        <v>63074</v>
      </c>
      <c r="B74" s="18" t="s">
        <v>590</v>
      </c>
      <c r="C74" s="14" t="s">
        <v>197</v>
      </c>
      <c r="D74" s="15">
        <v>9</v>
      </c>
      <c r="E74" s="15"/>
      <c r="F74" s="15" t="s">
        <v>61</v>
      </c>
      <c r="G74" s="15">
        <v>2963</v>
      </c>
      <c r="H74" s="15" t="s">
        <v>68</v>
      </c>
      <c r="I74" s="16">
        <v>41852</v>
      </c>
      <c r="J74" s="15">
        <v>5</v>
      </c>
      <c r="K74" s="17" t="s">
        <v>198</v>
      </c>
      <c r="M74" s="2" t="str">
        <f>"2J0H"</f>
        <v/>
      </c>
    </row>
    <row r="75" spans="1:15" x14ac:dyDescent="0.35">
      <c r="A75" s="18">
        <v>85296</v>
      </c>
      <c r="B75" s="18" t="s">
        <v>590</v>
      </c>
      <c r="C75" s="14" t="s">
        <v>199</v>
      </c>
      <c r="D75" s="15">
        <v>1</v>
      </c>
      <c r="E75" s="15"/>
      <c r="F75" s="15" t="s">
        <v>61</v>
      </c>
      <c r="G75" s="15">
        <v>4185</v>
      </c>
      <c r="H75" s="15" t="s">
        <v>185</v>
      </c>
      <c r="I75" s="16">
        <v>63074</v>
      </c>
      <c r="J75" s="15">
        <v>7</v>
      </c>
      <c r="K75" s="17" t="s">
        <v>200</v>
      </c>
      <c r="L75" s="1" t="str">
        <f>"EVCTAR8P6N4L2J0HYFWD"</f>
        <v>EVCTAR8P6N4L2J0HYFWD</v>
      </c>
      <c r="M75" s="2" t="str">
        <f>"R8P6N4L2J0HYFWDUBS"</f>
        <v>R8P6N4L2J0HYFWDUBS</v>
      </c>
      <c r="N75" s="1" t="s">
        <v>64</v>
      </c>
      <c r="O75" s="1">
        <v>2963</v>
      </c>
    </row>
    <row r="76" spans="1:15" x14ac:dyDescent="0.35">
      <c r="A76" s="18">
        <v>30741</v>
      </c>
      <c r="B76" s="18" t="s">
        <v>590</v>
      </c>
      <c r="C76" s="14" t="s">
        <v>201</v>
      </c>
      <c r="D76" s="15">
        <v>6</v>
      </c>
      <c r="E76" s="15"/>
      <c r="F76" s="15" t="s">
        <v>61</v>
      </c>
      <c r="G76" s="15">
        <v>9630</v>
      </c>
      <c r="H76" s="15" t="s">
        <v>185</v>
      </c>
      <c r="I76" s="16">
        <v>18529</v>
      </c>
      <c r="J76" s="15">
        <v>2</v>
      </c>
      <c r="K76" s="17" t="s">
        <v>202</v>
      </c>
      <c r="L76" s="1" t="str">
        <f t="shared" ref="L76" si="9">"TAR8P6N4L2J0HYFWDUBS"</f>
        <v>TAR8P6N4L2J0HYFWDUBS</v>
      </c>
      <c r="M76" s="2" t="str">
        <f>"6N4L2J0HYFWDUBS9Q"</f>
        <v>6N4L2J0HYFWDUBS9Q</v>
      </c>
      <c r="N76" s="1" t="s">
        <v>64</v>
      </c>
      <c r="O76" s="1">
        <v>7418</v>
      </c>
    </row>
    <row r="77" spans="1:15" x14ac:dyDescent="0.35">
      <c r="A77" s="18">
        <v>85296</v>
      </c>
      <c r="B77" s="18" t="s">
        <v>590</v>
      </c>
      <c r="C77" s="14" t="s">
        <v>203</v>
      </c>
      <c r="D77" s="15">
        <v>1</v>
      </c>
      <c r="E77" s="15"/>
      <c r="F77" s="15" t="s">
        <v>61</v>
      </c>
      <c r="G77" s="15">
        <v>4185</v>
      </c>
      <c r="H77" s="15" t="s">
        <v>185</v>
      </c>
      <c r="I77" s="16">
        <v>63074</v>
      </c>
      <c r="J77" s="15">
        <v>7</v>
      </c>
      <c r="K77" s="17" t="s">
        <v>204</v>
      </c>
      <c r="L77" s="1" t="str">
        <f t="shared" ref="L77:L81" si="10">"8P6N4L2J0HYFWDUBS9Q7"</f>
        <v>8P6N4L2J0HYFWDUBS9Q7</v>
      </c>
      <c r="M77" s="2" t="str">
        <f>"L2J0HYFWDUBS9Q7O5"</f>
        <v>L2J0HYFWDUBS9Q7O5</v>
      </c>
      <c r="N77" s="1" t="s">
        <v>64</v>
      </c>
      <c r="O77" s="1">
        <v>2963</v>
      </c>
    </row>
    <row r="78" spans="1:15" x14ac:dyDescent="0.35">
      <c r="A78" s="18">
        <v>30741</v>
      </c>
      <c r="B78" s="18" t="s">
        <v>590</v>
      </c>
      <c r="C78" s="14" t="s">
        <v>205</v>
      </c>
      <c r="D78" s="15">
        <v>6</v>
      </c>
      <c r="E78" s="15"/>
      <c r="F78" s="15" t="s">
        <v>61</v>
      </c>
      <c r="G78" s="15">
        <v>9630</v>
      </c>
      <c r="H78" s="15" t="s">
        <v>185</v>
      </c>
      <c r="I78" s="16">
        <v>18529</v>
      </c>
      <c r="J78" s="15">
        <v>2</v>
      </c>
      <c r="K78" s="17" t="s">
        <v>206</v>
      </c>
      <c r="L78" s="1" t="str">
        <f t="shared" si="10"/>
        <v>N4L2J0HYFWDUBS9Q7O5M</v>
      </c>
      <c r="M78" s="2" t="str">
        <f>"0HYFWDUBS9Q7O5M3K"</f>
        <v>0HYFWDUBS9Q7O5M3K</v>
      </c>
      <c r="N78" s="1" t="s">
        <v>64</v>
      </c>
      <c r="O78" s="1">
        <v>7418</v>
      </c>
    </row>
    <row r="79" spans="1:15" x14ac:dyDescent="0.35">
      <c r="A79" s="18">
        <v>85296</v>
      </c>
      <c r="B79" s="18" t="s">
        <v>590</v>
      </c>
      <c r="C79" s="14" t="s">
        <v>207</v>
      </c>
      <c r="D79" s="15">
        <v>1</v>
      </c>
      <c r="E79" s="15"/>
      <c r="F79" s="15" t="s">
        <v>61</v>
      </c>
      <c r="G79" s="15">
        <v>4185</v>
      </c>
      <c r="H79" s="15" t="s">
        <v>170</v>
      </c>
      <c r="I79" s="16">
        <v>63074</v>
      </c>
      <c r="J79" s="15">
        <v>7</v>
      </c>
      <c r="K79" s="17" t="s">
        <v>208</v>
      </c>
      <c r="L79" s="1" t="str">
        <f t="shared" si="10"/>
        <v>2J0HYFWDUBS9Q7O5M</v>
      </c>
      <c r="M79" s="2" t="str">
        <f>"FWDUBS9Q7"</f>
        <v>FWDUBS9Q7</v>
      </c>
      <c r="N79" s="1" t="s">
        <v>102</v>
      </c>
      <c r="O79" s="1">
        <v>29</v>
      </c>
    </row>
    <row r="80" spans="1:15" x14ac:dyDescent="0.35">
      <c r="A80" s="18">
        <v>30741</v>
      </c>
      <c r="B80" s="18" t="s">
        <v>590</v>
      </c>
      <c r="C80" s="14" t="s">
        <v>209</v>
      </c>
      <c r="D80" s="15">
        <v>6</v>
      </c>
      <c r="E80" s="15"/>
      <c r="F80" s="15" t="s">
        <v>61</v>
      </c>
      <c r="G80" s="15">
        <v>9630</v>
      </c>
      <c r="H80" s="15" t="s">
        <v>170</v>
      </c>
      <c r="I80" s="16">
        <v>18529</v>
      </c>
      <c r="J80" s="15">
        <v>2</v>
      </c>
      <c r="K80" s="17" t="s">
        <v>210</v>
      </c>
      <c r="L80" s="1" t="str">
        <f t="shared" si="10"/>
        <v>HYFWDUBS9Q7O5M3K1IZG</v>
      </c>
      <c r="M80" s="2" t="str">
        <f>"UBS9Q7O5M3K1IZGXE"</f>
        <v>UBS9Q7O5M3K1IZGXE</v>
      </c>
      <c r="N80" s="1" t="s">
        <v>64</v>
      </c>
      <c r="O80" s="1">
        <v>7418</v>
      </c>
    </row>
    <row r="81" spans="1:15" x14ac:dyDescent="0.35">
      <c r="A81" s="18">
        <v>85296</v>
      </c>
      <c r="B81" s="18" t="s">
        <v>590</v>
      </c>
      <c r="C81" s="14" t="s">
        <v>211</v>
      </c>
      <c r="D81" s="15">
        <v>1</v>
      </c>
      <c r="E81" s="15"/>
      <c r="F81" s="15" t="s">
        <v>61</v>
      </c>
      <c r="G81" s="15">
        <v>4185</v>
      </c>
      <c r="H81" s="15" t="s">
        <v>170</v>
      </c>
      <c r="I81" s="16">
        <v>63074</v>
      </c>
      <c r="J81" s="15">
        <v>7</v>
      </c>
      <c r="K81" s="17" t="s">
        <v>212</v>
      </c>
      <c r="L81" s="1" t="str">
        <f t="shared" si="10"/>
        <v>WDUBS9Q7O5M3K1IZGXEV</v>
      </c>
      <c r="M81" s="2" t="str">
        <f>"9Q7O5M3K1IZGXEVCT"</f>
        <v>9Q7O5M3K1IZGXEVCT</v>
      </c>
      <c r="N81" s="1" t="s">
        <v>64</v>
      </c>
      <c r="O81" s="1">
        <v>2963</v>
      </c>
    </row>
    <row r="82" spans="1:15" x14ac:dyDescent="0.35">
      <c r="A82" s="18">
        <v>30741</v>
      </c>
      <c r="B82" s="18" t="s">
        <v>590</v>
      </c>
      <c r="C82" s="14" t="s">
        <v>213</v>
      </c>
      <c r="D82" s="15">
        <v>6</v>
      </c>
      <c r="E82" s="15"/>
      <c r="F82" s="15" t="s">
        <v>61</v>
      </c>
      <c r="G82" s="15">
        <v>9630</v>
      </c>
      <c r="H82" s="15" t="s">
        <v>68</v>
      </c>
      <c r="I82" s="16">
        <v>18529</v>
      </c>
      <c r="J82" s="15">
        <v>2</v>
      </c>
      <c r="K82" s="17" t="s">
        <v>214</v>
      </c>
      <c r="M82" s="2" t="str">
        <f>"BS9Q"</f>
        <v/>
      </c>
    </row>
    <row r="83" spans="1:15" x14ac:dyDescent="0.35">
      <c r="A83" s="18">
        <v>52963</v>
      </c>
      <c r="B83" s="18" t="s">
        <v>590</v>
      </c>
      <c r="C83" s="14" t="s">
        <v>215</v>
      </c>
      <c r="D83" s="15">
        <v>8</v>
      </c>
      <c r="E83" s="15"/>
      <c r="F83" s="15" t="s">
        <v>61</v>
      </c>
      <c r="G83" s="15">
        <v>1852</v>
      </c>
      <c r="H83" s="15" t="s">
        <v>170</v>
      </c>
      <c r="I83" s="16">
        <v>30741</v>
      </c>
      <c r="J83" s="15">
        <v>4</v>
      </c>
      <c r="K83" s="17" t="s">
        <v>216</v>
      </c>
      <c r="L83" s="1" t="str">
        <f>"N4L2J0HYFWDUBS9Q7O5M"</f>
        <v>N4L2J0HYFWDUBS9Q7O5M</v>
      </c>
      <c r="M83" s="2" t="str">
        <f>"0HYFWDUBS9Q7O5M3K"</f>
        <v>0HYFWDUBS9Q7O5M3K</v>
      </c>
      <c r="N83" s="1" t="s">
        <v>64</v>
      </c>
      <c r="O83" s="1">
        <v>9630</v>
      </c>
    </row>
    <row r="84" spans="1:15" x14ac:dyDescent="0.35">
      <c r="A84" s="18">
        <v>17418</v>
      </c>
      <c r="B84" s="18" t="s">
        <v>590</v>
      </c>
      <c r="C84" s="14" t="s">
        <v>217</v>
      </c>
      <c r="D84" s="15">
        <v>3</v>
      </c>
      <c r="E84" s="15"/>
      <c r="F84" s="15" t="s">
        <v>61</v>
      </c>
      <c r="G84" s="15">
        <v>6307</v>
      </c>
      <c r="H84" s="15" t="s">
        <v>170</v>
      </c>
      <c r="I84" s="16">
        <v>85296</v>
      </c>
      <c r="J84" s="15">
        <v>9</v>
      </c>
      <c r="K84" s="17" t="s">
        <v>218</v>
      </c>
      <c r="L84" s="1" t="str">
        <f>"2J0HYFWDUBS9Q7O5M3K1"</f>
        <v>2J0HYFWDUBS9Q7O5M3K1</v>
      </c>
      <c r="M84" s="2" t="str">
        <f>"FWDUBS9Q7O5M3K1IZ"</f>
        <v>FWDUBS9Q7O5M3K1IZ</v>
      </c>
      <c r="N84" s="1" t="s">
        <v>64</v>
      </c>
      <c r="O84" s="1">
        <v>4185</v>
      </c>
    </row>
    <row r="85" spans="1:15" x14ac:dyDescent="0.35">
      <c r="A85" s="18">
        <v>52963</v>
      </c>
      <c r="B85" s="18" t="s">
        <v>590</v>
      </c>
      <c r="C85" s="14" t="s">
        <v>219</v>
      </c>
      <c r="D85" s="15">
        <v>8</v>
      </c>
      <c r="E85" s="15"/>
      <c r="F85" s="15" t="s">
        <v>61</v>
      </c>
      <c r="G85" s="15">
        <v>1852</v>
      </c>
      <c r="H85" s="15" t="s">
        <v>170</v>
      </c>
      <c r="I85" s="16">
        <v>30741</v>
      </c>
      <c r="J85" s="15">
        <v>4</v>
      </c>
      <c r="K85" s="17" t="s">
        <v>220</v>
      </c>
      <c r="L85" s="1" t="str">
        <f>"HYFWDUBS9Q7O5M3K1IZG"</f>
        <v>HYFWDUBS9Q7O5M3K1IZG</v>
      </c>
      <c r="M85" s="2" t="str">
        <f>"UBS9Q7O5M3K1IZGX"</f>
        <v>UBS9Q7O5M3K1IZGX</v>
      </c>
      <c r="N85" s="1" t="s">
        <v>64</v>
      </c>
      <c r="O85" s="1">
        <v>9630</v>
      </c>
    </row>
    <row r="86" spans="1:15" x14ac:dyDescent="0.35">
      <c r="A86" s="18">
        <v>17418</v>
      </c>
      <c r="B86" s="18" t="s">
        <v>590</v>
      </c>
      <c r="C86" s="14" t="s">
        <v>221</v>
      </c>
      <c r="D86" s="15">
        <v>3</v>
      </c>
      <c r="E86" s="15"/>
      <c r="F86" s="15" t="s">
        <v>61</v>
      </c>
      <c r="G86" s="15">
        <v>6307</v>
      </c>
      <c r="H86" s="15" t="s">
        <v>170</v>
      </c>
      <c r="I86" s="16">
        <v>85296</v>
      </c>
      <c r="J86" s="15">
        <v>9</v>
      </c>
      <c r="K86" s="17" t="s">
        <v>222</v>
      </c>
      <c r="L86" s="1" t="str">
        <f>"WDUBS9Q7O5M3K1IZGXEV"</f>
        <v>WDUBS9Q7O5M3K1IZGXEV</v>
      </c>
      <c r="M86" s="2" t="str">
        <f>"9Q7O5M3K1IZGXEVC"</f>
        <v>9Q7O5M3K1IZGXEVC</v>
      </c>
      <c r="N86" s="1" t="s">
        <v>64</v>
      </c>
      <c r="O86" s="1">
        <v>4185</v>
      </c>
    </row>
    <row r="87" spans="1:15" x14ac:dyDescent="0.35">
      <c r="A87" s="18">
        <v>52963</v>
      </c>
      <c r="B87" s="18" t="s">
        <v>590</v>
      </c>
      <c r="C87" s="14" t="s">
        <v>223</v>
      </c>
      <c r="D87" s="15">
        <v>8</v>
      </c>
      <c r="E87" s="15"/>
      <c r="F87" s="15" t="s">
        <v>61</v>
      </c>
      <c r="G87" s="15">
        <v>1852</v>
      </c>
      <c r="H87" s="15" t="s">
        <v>68</v>
      </c>
      <c r="I87" s="16">
        <v>30741</v>
      </c>
      <c r="J87" s="15">
        <v>4</v>
      </c>
      <c r="K87" s="17" t="s">
        <v>224</v>
      </c>
      <c r="M87" s="2" t="str">
        <f>"BS9Q"</f>
        <v/>
      </c>
    </row>
    <row r="88" spans="1:15" x14ac:dyDescent="0.35">
      <c r="A88" s="18">
        <v>74185</v>
      </c>
      <c r="B88" s="18" t="s">
        <v>590</v>
      </c>
      <c r="C88" s="14" t="s">
        <v>225</v>
      </c>
      <c r="D88" s="15">
        <v>1</v>
      </c>
      <c r="E88" s="15"/>
      <c r="F88" s="15" t="s">
        <v>61</v>
      </c>
      <c r="G88" s="15">
        <v>3074</v>
      </c>
      <c r="H88" s="15" t="s">
        <v>68</v>
      </c>
      <c r="I88" s="16">
        <v>52963</v>
      </c>
      <c r="J88" s="15">
        <v>6</v>
      </c>
      <c r="K88" s="17" t="s">
        <v>226</v>
      </c>
      <c r="M88" s="2" t="str">
        <f>"N4L2"</f>
        <v/>
      </c>
    </row>
    <row r="89" spans="1:15" x14ac:dyDescent="0.35">
      <c r="A89" s="18">
        <v>96307</v>
      </c>
      <c r="B89" s="18" t="s">
        <v>590</v>
      </c>
      <c r="C89" s="14" t="s">
        <v>227</v>
      </c>
      <c r="D89" s="15">
        <v>2</v>
      </c>
      <c r="E89" s="15"/>
      <c r="F89" s="15" t="s">
        <v>61</v>
      </c>
      <c r="G89" s="15">
        <v>5296</v>
      </c>
      <c r="H89" s="15" t="s">
        <v>68</v>
      </c>
      <c r="I89" s="16">
        <v>74185</v>
      </c>
      <c r="J89" s="15">
        <v>8</v>
      </c>
      <c r="K89" s="17" t="s">
        <v>228</v>
      </c>
      <c r="M89" s="2" t="str">
        <f>"ZGXE"</f>
        <v/>
      </c>
    </row>
    <row r="90" spans="1:15" x14ac:dyDescent="0.35">
      <c r="A90" s="18">
        <v>18529</v>
      </c>
      <c r="B90" s="18" t="s">
        <v>590</v>
      </c>
      <c r="C90" s="14" t="s">
        <v>229</v>
      </c>
      <c r="D90" s="15">
        <v>4</v>
      </c>
      <c r="E90" s="15"/>
      <c r="F90" s="15" t="s">
        <v>61</v>
      </c>
      <c r="G90" s="15">
        <v>7418</v>
      </c>
      <c r="H90" s="15" t="s">
        <v>68</v>
      </c>
      <c r="I90" s="16">
        <v>96307</v>
      </c>
      <c r="J90" s="15">
        <v>1</v>
      </c>
      <c r="K90" s="17" t="s">
        <v>230</v>
      </c>
      <c r="M90" s="2" t="str">
        <f>"BS9Q"</f>
        <v/>
      </c>
    </row>
    <row r="91" spans="1:15" x14ac:dyDescent="0.35">
      <c r="A91" s="18">
        <v>30741</v>
      </c>
      <c r="B91" s="18" t="s">
        <v>590</v>
      </c>
      <c r="C91" s="14" t="s">
        <v>231</v>
      </c>
      <c r="D91" s="15">
        <v>6</v>
      </c>
      <c r="E91" s="15"/>
      <c r="F91" s="15" t="s">
        <v>61</v>
      </c>
      <c r="G91" s="15">
        <v>9630</v>
      </c>
      <c r="H91" s="15" t="s">
        <v>68</v>
      </c>
      <c r="I91" s="16">
        <v>18529</v>
      </c>
      <c r="J91" s="15">
        <v>2</v>
      </c>
      <c r="K91" s="17" t="s">
        <v>232</v>
      </c>
      <c r="M91" s="2" t="str">
        <f>"N4L2"</f>
        <v/>
      </c>
    </row>
    <row r="92" spans="1:15" x14ac:dyDescent="0.35">
      <c r="A92" s="18">
        <v>52963</v>
      </c>
      <c r="B92" s="18" t="s">
        <v>590</v>
      </c>
      <c r="C92" s="14" t="s">
        <v>233</v>
      </c>
      <c r="D92" s="15">
        <v>8</v>
      </c>
      <c r="E92" s="15"/>
      <c r="F92" s="15" t="s">
        <v>61</v>
      </c>
      <c r="G92" s="15">
        <v>1852</v>
      </c>
      <c r="H92" s="15" t="s">
        <v>68</v>
      </c>
      <c r="I92" s="16">
        <v>30741</v>
      </c>
      <c r="J92" s="15">
        <v>4</v>
      </c>
      <c r="K92" s="17" t="s">
        <v>234</v>
      </c>
      <c r="M92" s="2" t="str">
        <f>"ZGXE"</f>
        <v/>
      </c>
    </row>
    <row r="93" spans="1:15" x14ac:dyDescent="0.35">
      <c r="A93" s="18">
        <v>74185</v>
      </c>
      <c r="B93" s="18" t="s">
        <v>590</v>
      </c>
      <c r="C93" s="14" t="s">
        <v>235</v>
      </c>
      <c r="D93" s="15">
        <v>1</v>
      </c>
      <c r="E93" s="15"/>
      <c r="F93" s="15" t="s">
        <v>61</v>
      </c>
      <c r="G93" s="15">
        <v>3074</v>
      </c>
      <c r="H93" s="15" t="s">
        <v>68</v>
      </c>
      <c r="I93" s="16">
        <v>52963</v>
      </c>
      <c r="J93" s="15">
        <v>6</v>
      </c>
      <c r="K93" s="17" t="s">
        <v>236</v>
      </c>
      <c r="M93" s="2" t="str">
        <f>"BS9Q"</f>
        <v/>
      </c>
    </row>
    <row r="94" spans="1:15" x14ac:dyDescent="0.35">
      <c r="A94" s="18">
        <v>96307</v>
      </c>
      <c r="B94" s="18" t="s">
        <v>590</v>
      </c>
      <c r="C94" s="14" t="s">
        <v>237</v>
      </c>
      <c r="D94" s="15">
        <v>2</v>
      </c>
      <c r="E94" s="15"/>
      <c r="F94" s="15" t="s">
        <v>61</v>
      </c>
      <c r="G94" s="15">
        <v>5296</v>
      </c>
      <c r="H94" s="15" t="s">
        <v>68</v>
      </c>
      <c r="I94" s="16">
        <v>74185</v>
      </c>
      <c r="J94" s="15">
        <v>8</v>
      </c>
      <c r="K94" s="17" t="s">
        <v>238</v>
      </c>
      <c r="M94" s="2" t="str">
        <f>"N4L2"</f>
        <v/>
      </c>
    </row>
    <row r="95" spans="1:15" x14ac:dyDescent="0.35">
      <c r="A95" s="18">
        <v>18529</v>
      </c>
      <c r="B95" s="18" t="s">
        <v>590</v>
      </c>
      <c r="C95" s="14" t="s">
        <v>239</v>
      </c>
      <c r="D95" s="15">
        <v>4</v>
      </c>
      <c r="E95" s="15"/>
      <c r="F95" s="15" t="s">
        <v>61</v>
      </c>
      <c r="G95" s="15">
        <v>7418</v>
      </c>
      <c r="H95" s="15" t="s">
        <v>170</v>
      </c>
      <c r="I95" s="16">
        <v>96307</v>
      </c>
      <c r="J95" s="15">
        <v>1</v>
      </c>
      <c r="K95" s="17" t="s">
        <v>240</v>
      </c>
      <c r="L95" s="1" t="str">
        <f>"ZGXEVCTAR8P6N4L2J"</f>
        <v>ZGXEVCTAR8P6N4L2J</v>
      </c>
      <c r="M95" s="2" t="str">
        <f>"CTAR8P6N4"</f>
        <v>CTAR8P6N4</v>
      </c>
      <c r="N95" s="1" t="s">
        <v>102</v>
      </c>
      <c r="O95" s="1">
        <v>52</v>
      </c>
    </row>
    <row r="96" spans="1:15" x14ac:dyDescent="0.35">
      <c r="A96" s="18">
        <v>63074</v>
      </c>
      <c r="B96" s="18" t="s">
        <v>590</v>
      </c>
      <c r="C96" s="14" t="s">
        <v>241</v>
      </c>
      <c r="D96" s="15">
        <v>9</v>
      </c>
      <c r="E96" s="15"/>
      <c r="F96" s="15" t="s">
        <v>61</v>
      </c>
      <c r="G96" s="15">
        <v>2963</v>
      </c>
      <c r="H96" s="15" t="s">
        <v>170</v>
      </c>
      <c r="I96" s="16">
        <v>41852</v>
      </c>
      <c r="J96" s="15">
        <v>5</v>
      </c>
      <c r="K96" s="17" t="s">
        <v>242</v>
      </c>
      <c r="L96" s="1" t="str">
        <f t="shared" ref="L96:L97" si="11">"EVCTAR8P6N4L2J0HYFWD"</f>
        <v>EVCTAR8P6N4L2J0HYFWD</v>
      </c>
      <c r="M96" s="2" t="str">
        <f>"R8P6N4L2J0HYFWD"</f>
        <v>R8P6N4L2J0HYFWD</v>
      </c>
      <c r="N96" s="1" t="s">
        <v>64</v>
      </c>
      <c r="O96" s="1">
        <v>1741</v>
      </c>
    </row>
    <row r="97" spans="1:15" x14ac:dyDescent="0.35">
      <c r="A97" s="18">
        <v>18529</v>
      </c>
      <c r="B97" s="18" t="s">
        <v>590</v>
      </c>
      <c r="C97" s="14" t="s">
        <v>243</v>
      </c>
      <c r="D97" s="15">
        <v>4</v>
      </c>
      <c r="E97" s="15"/>
      <c r="F97" s="15" t="s">
        <v>61</v>
      </c>
      <c r="G97" s="15">
        <v>7418</v>
      </c>
      <c r="H97" s="15" t="s">
        <v>170</v>
      </c>
      <c r="I97" s="16">
        <v>96307</v>
      </c>
      <c r="J97" s="15">
        <v>1</v>
      </c>
      <c r="K97" s="17" t="s">
        <v>244</v>
      </c>
      <c r="L97" s="1" t="str">
        <f t="shared" si="11"/>
        <v>TAR8P6N4L2J0HYFWDUBS</v>
      </c>
      <c r="M97" s="2" t="str">
        <f>"6N4L2J0HYFWDUBS9Q"</f>
        <v>6N4L2J0HYFWDUBS9Q</v>
      </c>
      <c r="N97" s="1" t="s">
        <v>64</v>
      </c>
      <c r="O97" s="1">
        <v>5296</v>
      </c>
    </row>
    <row r="98" spans="1:15" x14ac:dyDescent="0.35">
      <c r="A98" s="18">
        <v>63074</v>
      </c>
      <c r="B98" s="18" t="s">
        <v>590</v>
      </c>
      <c r="C98" s="14" t="s">
        <v>245</v>
      </c>
      <c r="D98" s="15">
        <v>9</v>
      </c>
      <c r="E98" s="15"/>
      <c r="F98" s="15" t="s">
        <v>61</v>
      </c>
      <c r="G98" s="15">
        <v>2963</v>
      </c>
      <c r="H98" s="15" t="s">
        <v>68</v>
      </c>
      <c r="I98" s="16">
        <v>41852</v>
      </c>
      <c r="J98" s="15">
        <v>5</v>
      </c>
      <c r="K98" s="17" t="s">
        <v>246</v>
      </c>
      <c r="M98" s="2" t="str">
        <f>"8P6N"</f>
        <v/>
      </c>
    </row>
    <row r="99" spans="1:15" x14ac:dyDescent="0.35">
      <c r="A99" s="18">
        <v>85296</v>
      </c>
      <c r="B99" s="18" t="s">
        <v>590</v>
      </c>
      <c r="C99" s="14" t="s">
        <v>247</v>
      </c>
      <c r="D99" s="15">
        <v>1</v>
      </c>
      <c r="E99" s="15"/>
      <c r="F99" s="15" t="s">
        <v>61</v>
      </c>
      <c r="G99" s="15">
        <v>4185</v>
      </c>
      <c r="H99" s="15" t="s">
        <v>170</v>
      </c>
      <c r="I99" s="16">
        <v>63074</v>
      </c>
      <c r="J99" s="15">
        <v>7</v>
      </c>
      <c r="K99" s="17" t="s">
        <v>248</v>
      </c>
      <c r="L99" s="1" t="str">
        <f>"K1IZGXEVCTAR8P6N4"</f>
        <v>K1IZGXEVCTAR8P6N4</v>
      </c>
      <c r="M99" s="2" t="str">
        <f>"XEVCTAR8P"</f>
        <v>XEVCTAR8P</v>
      </c>
      <c r="N99" s="1" t="s">
        <v>102</v>
      </c>
      <c r="O99" s="1">
        <v>29</v>
      </c>
    </row>
    <row r="100" spans="1:15" x14ac:dyDescent="0.35">
      <c r="A100" s="18">
        <v>30741</v>
      </c>
      <c r="B100" s="18" t="s">
        <v>590</v>
      </c>
      <c r="C100" s="14" t="s">
        <v>249</v>
      </c>
      <c r="D100" s="15">
        <v>6</v>
      </c>
      <c r="E100" s="15"/>
      <c r="F100" s="15" t="s">
        <v>61</v>
      </c>
      <c r="G100" s="15">
        <v>9630</v>
      </c>
      <c r="H100" s="15" t="s">
        <v>170</v>
      </c>
      <c r="I100" s="16">
        <v>18529</v>
      </c>
      <c r="J100" s="15">
        <v>2</v>
      </c>
      <c r="K100" s="17" t="s">
        <v>250</v>
      </c>
      <c r="L100" s="1" t="str">
        <f>"ZGXEVCTAR8P6N4L2J0HY"</f>
        <v>ZGXEVCTAR8P6N4L2J0HY</v>
      </c>
      <c r="M100" s="2" t="str">
        <f>"CTAR8P6N4L2J0HYFW"</f>
        <v>CTAR8P6N4L2J0HYFW</v>
      </c>
      <c r="N100" s="1" t="s">
        <v>64</v>
      </c>
      <c r="O100" s="1">
        <v>7418</v>
      </c>
    </row>
    <row r="101" spans="1:15" x14ac:dyDescent="0.35">
      <c r="A101" s="18">
        <v>85296</v>
      </c>
      <c r="B101" s="18" t="s">
        <v>590</v>
      </c>
      <c r="C101" s="14" t="s">
        <v>251</v>
      </c>
      <c r="D101" s="15">
        <v>1</v>
      </c>
      <c r="E101" s="15"/>
      <c r="F101" s="15" t="s">
        <v>61</v>
      </c>
      <c r="G101" s="15">
        <v>4185</v>
      </c>
      <c r="H101" s="15" t="s">
        <v>68</v>
      </c>
      <c r="I101" s="16">
        <v>63074</v>
      </c>
      <c r="J101" s="15">
        <v>7</v>
      </c>
      <c r="K101" s="17" t="s">
        <v>252</v>
      </c>
      <c r="M101" s="2" t="str">
        <f>"EVCT"</f>
        <v/>
      </c>
    </row>
    <row r="102" spans="1:15" x14ac:dyDescent="0.35">
      <c r="A102" s="18">
        <v>17418</v>
      </c>
      <c r="B102" s="18" t="s">
        <v>590</v>
      </c>
      <c r="C102" s="14" t="s">
        <v>253</v>
      </c>
      <c r="D102" s="15">
        <v>3</v>
      </c>
      <c r="E102" s="15"/>
      <c r="F102" s="15" t="s">
        <v>61</v>
      </c>
      <c r="G102" s="15">
        <v>6307</v>
      </c>
      <c r="H102" s="15" t="s">
        <v>170</v>
      </c>
      <c r="I102" s="16">
        <v>85296</v>
      </c>
      <c r="J102" s="15">
        <v>9</v>
      </c>
      <c r="K102" s="17" t="s">
        <v>254</v>
      </c>
      <c r="L102" s="1" t="str">
        <f>"Q7O5M3K1IZGXEVCTA"</f>
        <v>Q7O5M3K1IZGXEVCTA</v>
      </c>
      <c r="M102" s="2" t="str">
        <f>"3K1IZGXEV"</f>
        <v>3K1IZGXEV</v>
      </c>
      <c r="N102" s="1" t="s">
        <v>102</v>
      </c>
      <c r="O102" s="1">
        <v>41</v>
      </c>
    </row>
    <row r="103" spans="1:15" x14ac:dyDescent="0.35">
      <c r="A103" s="18">
        <v>52963</v>
      </c>
      <c r="B103" s="18" t="s">
        <v>590</v>
      </c>
      <c r="C103" s="14" t="s">
        <v>255</v>
      </c>
      <c r="D103" s="15">
        <v>8</v>
      </c>
      <c r="E103" s="15"/>
      <c r="F103" s="15" t="s">
        <v>61</v>
      </c>
      <c r="G103" s="15">
        <v>1852</v>
      </c>
      <c r="H103" s="15" t="s">
        <v>170</v>
      </c>
      <c r="I103" s="16">
        <v>30741</v>
      </c>
      <c r="J103" s="15">
        <v>4</v>
      </c>
      <c r="K103" s="17" t="s">
        <v>256</v>
      </c>
      <c r="L103" s="1" t="str">
        <f>"5M3K1IZGXEVCTAR8P6N4L2"</f>
        <v>5M3K1IZGXEVCTAR8P6N4L2</v>
      </c>
      <c r="M103" s="2" t="str">
        <f>"IZGXEVCTAR8P6N4L2"</f>
        <v>IZGXEVCTAR8P6N4L2</v>
      </c>
      <c r="N103" s="1" t="s">
        <v>64</v>
      </c>
      <c r="O103" s="1">
        <v>963074</v>
      </c>
    </row>
    <row r="104" spans="1:15" x14ac:dyDescent="0.35">
      <c r="A104" s="18">
        <v>17418</v>
      </c>
      <c r="B104" s="18" t="s">
        <v>590</v>
      </c>
      <c r="C104" s="14" t="s">
        <v>257</v>
      </c>
      <c r="D104" s="15">
        <v>3</v>
      </c>
      <c r="E104" s="15"/>
      <c r="F104" s="15" t="s">
        <v>61</v>
      </c>
      <c r="G104" s="15">
        <v>6307</v>
      </c>
      <c r="H104" s="15" t="s">
        <v>68</v>
      </c>
      <c r="I104" s="16">
        <v>85296</v>
      </c>
      <c r="J104" s="15">
        <v>9</v>
      </c>
      <c r="K104" s="17" t="s">
        <v>258</v>
      </c>
      <c r="M104" s="2" t="str">
        <f>"K1IZ"</f>
        <v/>
      </c>
    </row>
    <row r="105" spans="1:15" x14ac:dyDescent="0.35">
      <c r="A105" s="18">
        <v>29630</v>
      </c>
      <c r="B105" s="18" t="s">
        <v>590</v>
      </c>
      <c r="C105" s="14" t="s">
        <v>259</v>
      </c>
      <c r="D105" s="15">
        <v>5</v>
      </c>
      <c r="E105" s="15"/>
      <c r="F105" s="15" t="s">
        <v>61</v>
      </c>
      <c r="G105" s="15">
        <v>8529</v>
      </c>
      <c r="H105" s="15" t="s">
        <v>170</v>
      </c>
      <c r="I105" s="16">
        <v>17418</v>
      </c>
      <c r="J105" s="15">
        <v>1</v>
      </c>
      <c r="K105" s="17" t="s">
        <v>260</v>
      </c>
      <c r="L105" s="1" t="str">
        <f>"WDUBS9Q7O5M3K1IZGXEVCT"</f>
        <v>WDUBS9Q7O5M3K1IZGXEVCT</v>
      </c>
      <c r="M105" s="2" t="str">
        <f>"9Q7O5M3K1IZGXEVCT"</f>
        <v>9Q7O5M3K1IZGXEVCT</v>
      </c>
      <c r="N105" s="1" t="s">
        <v>64</v>
      </c>
      <c r="O105" s="1">
        <v>630741</v>
      </c>
    </row>
    <row r="106" spans="1:15" x14ac:dyDescent="0.35">
      <c r="A106" s="18">
        <v>74185</v>
      </c>
      <c r="B106" s="18" t="s">
        <v>590</v>
      </c>
      <c r="C106" s="14" t="s">
        <v>261</v>
      </c>
      <c r="D106" s="15">
        <v>1</v>
      </c>
      <c r="E106" s="15"/>
      <c r="F106" s="15" t="s">
        <v>61</v>
      </c>
      <c r="G106" s="15">
        <v>3074</v>
      </c>
      <c r="H106" s="15" t="s">
        <v>170</v>
      </c>
      <c r="I106" s="16">
        <v>52963</v>
      </c>
      <c r="J106" s="15">
        <v>6</v>
      </c>
      <c r="K106" s="17" t="s">
        <v>262</v>
      </c>
      <c r="L106" s="1" t="str">
        <f>"BS9Q7O5M3K1IZGXEVCTA"</f>
        <v>BS9Q7O5M3K1IZGXEVCTA</v>
      </c>
      <c r="M106" s="2" t="str">
        <f>"O5M3K1IZGXEVCTAR"</f>
        <v>O5M3K1IZGXEVCTAR</v>
      </c>
      <c r="N106" s="1" t="s">
        <v>64</v>
      </c>
      <c r="O106" s="1">
        <v>1852</v>
      </c>
    </row>
    <row r="107" spans="1:15" x14ac:dyDescent="0.35">
      <c r="A107" s="18">
        <v>29630</v>
      </c>
      <c r="B107" s="18" t="s">
        <v>590</v>
      </c>
      <c r="C107" s="14" t="s">
        <v>263</v>
      </c>
      <c r="D107" s="15">
        <v>5</v>
      </c>
      <c r="E107" s="15"/>
      <c r="F107" s="15" t="s">
        <v>61</v>
      </c>
      <c r="G107" s="15">
        <v>8529</v>
      </c>
      <c r="H107" s="15" t="s">
        <v>170</v>
      </c>
      <c r="I107" s="16">
        <v>17418</v>
      </c>
      <c r="J107" s="15">
        <v>1</v>
      </c>
      <c r="K107" s="17" t="s">
        <v>264</v>
      </c>
      <c r="L107" s="1" t="str">
        <f t="shared" ref="L107" si="12">"Q7O5M3K1IZGXEVCTAR8P"</f>
        <v>Q7O5M3K1IZGXEVCTAR8P</v>
      </c>
      <c r="M107" s="2" t="str">
        <f>"3K1IZGXEVCTAR8P6"</f>
        <v>3K1IZGXEVCTAR8P6</v>
      </c>
      <c r="N107" s="1" t="s">
        <v>64</v>
      </c>
      <c r="O107" s="1">
        <v>6307</v>
      </c>
    </row>
    <row r="108" spans="1:15" x14ac:dyDescent="0.35">
      <c r="A108" s="18">
        <v>74185</v>
      </c>
      <c r="B108" s="18" t="s">
        <v>590</v>
      </c>
      <c r="C108" s="14" t="s">
        <v>265</v>
      </c>
      <c r="D108" s="15">
        <v>1</v>
      </c>
      <c r="E108" s="15"/>
      <c r="F108" s="15" t="s">
        <v>61</v>
      </c>
      <c r="G108" s="15">
        <v>3074</v>
      </c>
      <c r="H108" s="15" t="s">
        <v>68</v>
      </c>
      <c r="I108" s="16">
        <v>52963</v>
      </c>
      <c r="J108" s="15">
        <v>6</v>
      </c>
      <c r="K108" s="17" t="s">
        <v>266</v>
      </c>
    </row>
    <row r="109" spans="1:15" x14ac:dyDescent="0.35">
      <c r="A109" s="18">
        <v>85296</v>
      </c>
      <c r="B109" s="18" t="s">
        <v>590</v>
      </c>
      <c r="C109" s="14" t="s">
        <v>267</v>
      </c>
      <c r="D109" s="15">
        <v>1</v>
      </c>
      <c r="E109" s="15"/>
      <c r="F109" s="15" t="s">
        <v>61</v>
      </c>
      <c r="G109" s="15">
        <v>4185</v>
      </c>
      <c r="H109" s="15" t="s">
        <v>170</v>
      </c>
      <c r="I109" s="16">
        <v>63074</v>
      </c>
      <c r="J109" s="15">
        <v>7</v>
      </c>
      <c r="K109" s="17" t="s">
        <v>268</v>
      </c>
      <c r="L109" s="1" t="str">
        <f>"4L2J0HYFWDUBS9Q7O5M3"</f>
        <v>4L2J0HYFWDUBS9Q7O5M3</v>
      </c>
      <c r="M109" s="2" t="str">
        <f>"HYFWDUBS9Q7O5M3K"</f>
        <v>HYFWDUBS9Q7O5M3K</v>
      </c>
      <c r="N109" s="1" t="s">
        <v>64</v>
      </c>
      <c r="O109" s="1">
        <v>2963</v>
      </c>
    </row>
    <row r="110" spans="1:15" x14ac:dyDescent="0.35">
      <c r="A110" s="18">
        <v>30741</v>
      </c>
      <c r="B110" s="18" t="s">
        <v>590</v>
      </c>
      <c r="C110" s="14" t="s">
        <v>269</v>
      </c>
      <c r="D110" s="15">
        <v>6</v>
      </c>
      <c r="E110" s="15"/>
      <c r="F110" s="15" t="s">
        <v>61</v>
      </c>
      <c r="G110" s="15">
        <v>9630</v>
      </c>
      <c r="H110" s="15" t="s">
        <v>68</v>
      </c>
      <c r="I110" s="16">
        <v>18529</v>
      </c>
      <c r="J110" s="15">
        <v>2</v>
      </c>
      <c r="K110" s="17" t="s">
        <v>270</v>
      </c>
      <c r="M110" s="2" t="str">
        <f>"J0HY"</f>
        <v/>
      </c>
    </row>
    <row r="111" spans="1:15" x14ac:dyDescent="0.35">
      <c r="A111" s="18">
        <v>52963</v>
      </c>
      <c r="B111" s="18" t="s">
        <v>590</v>
      </c>
      <c r="C111" s="14" t="s">
        <v>271</v>
      </c>
      <c r="D111" s="15">
        <v>8</v>
      </c>
      <c r="E111" s="15"/>
      <c r="F111" s="15" t="s">
        <v>61</v>
      </c>
      <c r="G111" s="15">
        <v>1852</v>
      </c>
      <c r="H111" s="15" t="s">
        <v>170</v>
      </c>
      <c r="I111" s="16">
        <v>30741</v>
      </c>
      <c r="J111" s="15">
        <v>4</v>
      </c>
      <c r="K111" s="17" t="s">
        <v>272</v>
      </c>
      <c r="L111" s="1" t="str">
        <f>"VCTAR8P6N4L2J0HYFWDU"</f>
        <v>VCTAR8P6N4L2J0HYFWDU</v>
      </c>
      <c r="M111" s="2" t="str">
        <f>"8P6N4L2J0HYFWDUBS9"</f>
        <v>8P6N4L2J0HYFWDUBS9</v>
      </c>
      <c r="N111" s="1" t="s">
        <v>64</v>
      </c>
      <c r="O111" s="1">
        <v>9630</v>
      </c>
    </row>
    <row r="112" spans="1:15" x14ac:dyDescent="0.35">
      <c r="A112" s="18">
        <v>17418</v>
      </c>
      <c r="B112" s="18" t="s">
        <v>590</v>
      </c>
      <c r="C112" s="14" t="s">
        <v>273</v>
      </c>
      <c r="D112" s="15">
        <v>3</v>
      </c>
      <c r="E112" s="15"/>
      <c r="F112" s="15" t="s">
        <v>61</v>
      </c>
      <c r="G112" s="15">
        <v>6307</v>
      </c>
      <c r="H112" s="15" t="s">
        <v>170</v>
      </c>
      <c r="I112" s="16">
        <v>85296</v>
      </c>
      <c r="J112" s="15">
        <v>9</v>
      </c>
      <c r="K112" s="17" t="s">
        <v>274</v>
      </c>
      <c r="L112" s="1" t="str">
        <f>"AR8P6N4L2J0HYFWDUBS9"</f>
        <v>AR8P6N4L2J0HYFWDUBS9</v>
      </c>
      <c r="M112" s="2" t="str">
        <f>"N4L2J0HYFWDUBS9Q7"</f>
        <v>N4L2J0HYFWDUBS9Q7</v>
      </c>
      <c r="N112" s="1" t="s">
        <v>64</v>
      </c>
      <c r="O112" s="1">
        <v>4185</v>
      </c>
    </row>
    <row r="113" spans="1:15" x14ac:dyDescent="0.35">
      <c r="A113" s="18">
        <v>52963</v>
      </c>
      <c r="B113" s="18" t="s">
        <v>590</v>
      </c>
      <c r="C113" s="14" t="s">
        <v>275</v>
      </c>
      <c r="D113" s="15">
        <v>8</v>
      </c>
      <c r="E113" s="15"/>
      <c r="F113" s="15" t="s">
        <v>61</v>
      </c>
      <c r="G113" s="15">
        <v>1852</v>
      </c>
      <c r="H113" s="15" t="s">
        <v>68</v>
      </c>
      <c r="I113" s="16">
        <v>30741</v>
      </c>
      <c r="J113" s="15">
        <v>4</v>
      </c>
      <c r="K113" s="17" t="s">
        <v>276</v>
      </c>
      <c r="M113" s="2" t="str">
        <f>"P6N4"</f>
        <v/>
      </c>
    </row>
    <row r="114" spans="1:15" x14ac:dyDescent="0.35">
      <c r="A114" s="18">
        <v>74185</v>
      </c>
      <c r="B114" s="18" t="s">
        <v>590</v>
      </c>
      <c r="C114" s="14" t="s">
        <v>277</v>
      </c>
      <c r="D114" s="15">
        <v>1</v>
      </c>
      <c r="E114" s="15"/>
      <c r="F114" s="15" t="s">
        <v>61</v>
      </c>
      <c r="G114" s="15">
        <v>3074</v>
      </c>
      <c r="H114" s="15" t="s">
        <v>68</v>
      </c>
      <c r="I114" s="16">
        <v>52963</v>
      </c>
      <c r="J114" s="15">
        <v>6</v>
      </c>
      <c r="K114" s="17" t="s">
        <v>278</v>
      </c>
      <c r="M114" s="2" t="str">
        <f>"1IZG"</f>
        <v/>
      </c>
    </row>
    <row r="115" spans="1:15" x14ac:dyDescent="0.35">
      <c r="A115" s="18">
        <v>96307</v>
      </c>
      <c r="B115" s="18" t="s">
        <v>590</v>
      </c>
      <c r="C115" s="14" t="s">
        <v>279</v>
      </c>
      <c r="D115" s="15">
        <v>2</v>
      </c>
      <c r="E115" s="15"/>
      <c r="F115" s="15" t="s">
        <v>61</v>
      </c>
      <c r="G115" s="15">
        <v>5296</v>
      </c>
      <c r="H115" s="15" t="s">
        <v>170</v>
      </c>
      <c r="I115" s="16">
        <v>74185</v>
      </c>
      <c r="J115" s="15">
        <v>8</v>
      </c>
      <c r="K115" s="17" t="s">
        <v>280</v>
      </c>
      <c r="L115" s="1" t="str">
        <f>"DUBS9Q7O5M3K1IZGXEVC"</f>
        <v>DUBS9Q7O5M3K1IZGXEVC</v>
      </c>
      <c r="M115" s="2" t="str">
        <f>"Q7O5M3K1IZGXEVCTAR"</f>
        <v>Q7O5M3K1IZGXEVCTAR</v>
      </c>
      <c r="N115" s="1" t="s">
        <v>64</v>
      </c>
      <c r="O115" s="1">
        <v>3074</v>
      </c>
    </row>
    <row r="116" spans="1:15" x14ac:dyDescent="0.35">
      <c r="A116" s="18">
        <v>41852</v>
      </c>
      <c r="B116" s="18" t="s">
        <v>590</v>
      </c>
      <c r="C116" s="14" t="s">
        <v>281</v>
      </c>
      <c r="D116" s="15">
        <v>7</v>
      </c>
      <c r="E116" s="15"/>
      <c r="F116" s="15" t="s">
        <v>61</v>
      </c>
      <c r="G116" s="15">
        <v>1741</v>
      </c>
      <c r="H116" s="15" t="s">
        <v>170</v>
      </c>
      <c r="I116" s="16">
        <v>29630</v>
      </c>
      <c r="J116" s="15">
        <v>3</v>
      </c>
      <c r="K116" s="17" t="s">
        <v>282</v>
      </c>
      <c r="L116" s="1" t="str">
        <f>"S9Q7O5M3K1IZGXEVCTAR"</f>
        <v>S9Q7O5M3K1IZGXEVCTAR</v>
      </c>
      <c r="M116" s="2" t="str">
        <f>"5M3K1IZGXEVCTAR8P"</f>
        <v>5M3K1IZGXEVCTAR8P</v>
      </c>
      <c r="N116" s="1" t="s">
        <v>64</v>
      </c>
      <c r="O116" s="1">
        <v>8529</v>
      </c>
    </row>
    <row r="117" spans="1:15" x14ac:dyDescent="0.35">
      <c r="A117" s="18">
        <v>96307</v>
      </c>
      <c r="B117" s="18" t="s">
        <v>590</v>
      </c>
      <c r="C117" s="14" t="s">
        <v>283</v>
      </c>
      <c r="D117" s="15">
        <v>2</v>
      </c>
      <c r="E117" s="15"/>
      <c r="F117" s="15" t="s">
        <v>61</v>
      </c>
      <c r="G117" s="15">
        <v>5296</v>
      </c>
      <c r="H117" s="15" t="s">
        <v>170</v>
      </c>
      <c r="I117" s="16">
        <v>74185</v>
      </c>
      <c r="J117" s="15">
        <v>8</v>
      </c>
      <c r="K117" s="17" t="s">
        <v>284</v>
      </c>
      <c r="L117" s="1" t="str">
        <f>"7O5M3K1IZGXEVCTAR8P6"</f>
        <v>7O5M3K1IZGXEVCTAR8P6</v>
      </c>
      <c r="M117" s="2" t="str">
        <f>"K1IZGXEVCTAR8P6N4"</f>
        <v>K1IZGXEVCTAR8P6N4</v>
      </c>
      <c r="N117" s="1" t="s">
        <v>64</v>
      </c>
      <c r="O117" s="1">
        <v>3074</v>
      </c>
    </row>
    <row r="118" spans="1:15" x14ac:dyDescent="0.35">
      <c r="A118" s="18">
        <v>41852</v>
      </c>
      <c r="B118" s="18" t="s">
        <v>590</v>
      </c>
      <c r="C118" s="14" t="s">
        <v>285</v>
      </c>
      <c r="D118" s="15">
        <v>7</v>
      </c>
      <c r="E118" s="15"/>
      <c r="F118" s="15" t="s">
        <v>61</v>
      </c>
      <c r="G118" s="15">
        <v>1741</v>
      </c>
      <c r="H118" s="15" t="s">
        <v>68</v>
      </c>
      <c r="I118" s="16">
        <v>29630</v>
      </c>
      <c r="J118" s="15">
        <v>3</v>
      </c>
      <c r="K118" s="17" t="s">
        <v>286</v>
      </c>
      <c r="M118" s="2" t="str">
        <f>"M3K1"</f>
        <v/>
      </c>
    </row>
    <row r="119" spans="1:15" x14ac:dyDescent="0.35">
      <c r="A119" s="18">
        <v>63074</v>
      </c>
      <c r="B119" s="18" t="s">
        <v>590</v>
      </c>
      <c r="C119" s="14" t="s">
        <v>287</v>
      </c>
      <c r="D119" s="15">
        <v>9</v>
      </c>
      <c r="E119" s="15"/>
      <c r="F119" s="15" t="s">
        <v>61</v>
      </c>
      <c r="G119" s="15">
        <v>2963</v>
      </c>
      <c r="H119" s="15" t="s">
        <v>68</v>
      </c>
      <c r="I119" s="16">
        <v>41852</v>
      </c>
      <c r="J119" s="15">
        <v>5</v>
      </c>
      <c r="K119" s="17" t="s">
        <v>288</v>
      </c>
      <c r="M119" s="2" t="str">
        <f>"YFWD"</f>
        <v/>
      </c>
    </row>
    <row r="120" spans="1:15" x14ac:dyDescent="0.35">
      <c r="A120" s="18">
        <v>85296</v>
      </c>
      <c r="B120" s="18" t="s">
        <v>590</v>
      </c>
      <c r="C120" s="14" t="s">
        <v>289</v>
      </c>
      <c r="D120" s="15">
        <v>1</v>
      </c>
      <c r="E120" s="15"/>
      <c r="F120" s="15" t="s">
        <v>61</v>
      </c>
      <c r="G120" s="15">
        <v>4185</v>
      </c>
      <c r="H120" s="15" t="s">
        <v>170</v>
      </c>
      <c r="I120" s="16">
        <v>63074</v>
      </c>
      <c r="J120" s="15">
        <v>7</v>
      </c>
      <c r="K120" s="17" t="s">
        <v>290</v>
      </c>
      <c r="L120" s="1" t="str">
        <f t="shared" ref="L120" si="13">"AR8P6N4L2J0HYFWDU"</f>
        <v>AR8P6N4L2J0HYFWDU</v>
      </c>
      <c r="M120" s="2" t="str">
        <f>"N4L2J0HYF"</f>
        <v>N4L2J0HYF</v>
      </c>
      <c r="N120" s="1" t="s">
        <v>102</v>
      </c>
      <c r="O120" s="1">
        <v>29</v>
      </c>
    </row>
    <row r="121" spans="1:15" x14ac:dyDescent="0.35">
      <c r="A121" s="18">
        <v>30741</v>
      </c>
      <c r="B121" s="18" t="s">
        <v>590</v>
      </c>
      <c r="C121" s="14" t="s">
        <v>291</v>
      </c>
      <c r="D121" s="15">
        <v>6</v>
      </c>
      <c r="E121" s="15"/>
      <c r="F121" s="15" t="s">
        <v>61</v>
      </c>
      <c r="G121" s="15">
        <v>9630</v>
      </c>
      <c r="H121" s="15" t="s">
        <v>170</v>
      </c>
      <c r="I121" s="16">
        <v>18529</v>
      </c>
      <c r="J121" s="15">
        <v>2</v>
      </c>
      <c r="K121" s="17" t="s">
        <v>292</v>
      </c>
      <c r="L121" s="1" t="str">
        <f t="shared" ref="L121" si="14">"P6N4L2J0HYFWDUBS9Q7O"</f>
        <v>P6N4L2J0HYFWDUBS9Q7O</v>
      </c>
      <c r="M121" s="2" t="str">
        <f>"2J0HYFWDUBS9Q7O5M"</f>
        <v>2J0HYFWDUBS9Q7O5M</v>
      </c>
      <c r="N121" s="1" t="s">
        <v>64</v>
      </c>
      <c r="O121" s="1">
        <v>7418</v>
      </c>
    </row>
    <row r="122" spans="1:15" x14ac:dyDescent="0.35">
      <c r="A122" s="18">
        <v>85296</v>
      </c>
      <c r="B122" s="18" t="s">
        <v>590</v>
      </c>
      <c r="C122" s="14" t="s">
        <v>293</v>
      </c>
      <c r="D122" s="15">
        <v>1</v>
      </c>
      <c r="E122" s="15"/>
      <c r="F122" s="15" t="s">
        <v>61</v>
      </c>
      <c r="G122" s="15">
        <v>4185</v>
      </c>
      <c r="H122" s="15" t="s">
        <v>68</v>
      </c>
      <c r="I122" s="16">
        <v>63074</v>
      </c>
      <c r="J122" s="15">
        <v>7</v>
      </c>
      <c r="K122" s="17" t="s">
        <v>294</v>
      </c>
      <c r="M122" s="2" t="str">
        <f>"4L2J"</f>
        <v/>
      </c>
    </row>
    <row r="123" spans="1:15" x14ac:dyDescent="0.35">
      <c r="A123" s="18">
        <v>17418</v>
      </c>
      <c r="B123" s="18" t="s">
        <v>590</v>
      </c>
      <c r="C123" s="14" t="s">
        <v>295</v>
      </c>
      <c r="D123" s="15">
        <v>3</v>
      </c>
      <c r="E123" s="15"/>
      <c r="F123" s="15" t="s">
        <v>61</v>
      </c>
      <c r="G123" s="15">
        <v>6307</v>
      </c>
      <c r="H123" s="15" t="s">
        <v>68</v>
      </c>
      <c r="I123" s="16">
        <v>85296</v>
      </c>
      <c r="J123" s="15">
        <v>9</v>
      </c>
      <c r="K123" s="17" t="s">
        <v>296</v>
      </c>
      <c r="M123" s="2" t="str">
        <f>"GXEV"</f>
        <v/>
      </c>
    </row>
    <row r="124" spans="1:15" x14ac:dyDescent="0.35">
      <c r="A124" s="18">
        <v>29630</v>
      </c>
      <c r="B124" s="18" t="s">
        <v>590</v>
      </c>
      <c r="C124" s="14" t="s">
        <v>297</v>
      </c>
      <c r="D124" s="15">
        <v>5</v>
      </c>
      <c r="E124" s="15"/>
      <c r="F124" s="15" t="s">
        <v>61</v>
      </c>
      <c r="G124" s="15">
        <v>8529</v>
      </c>
      <c r="H124" s="15" t="s">
        <v>68</v>
      </c>
      <c r="I124" s="16">
        <v>17418</v>
      </c>
      <c r="J124" s="15">
        <v>1</v>
      </c>
      <c r="K124" s="17" t="s">
        <v>298</v>
      </c>
      <c r="M124" s="2" t="str">
        <f>"S9Q7"</f>
        <v/>
      </c>
    </row>
    <row r="125" spans="1:15" x14ac:dyDescent="0.35">
      <c r="A125" s="18">
        <v>41852</v>
      </c>
      <c r="B125" s="18" t="s">
        <v>590</v>
      </c>
      <c r="C125" s="14" t="s">
        <v>299</v>
      </c>
      <c r="D125" s="15">
        <v>7</v>
      </c>
      <c r="E125" s="15"/>
      <c r="F125" s="15" t="s">
        <v>61</v>
      </c>
      <c r="G125" s="15">
        <v>1741</v>
      </c>
      <c r="H125" s="15" t="s">
        <v>68</v>
      </c>
      <c r="I125" s="16">
        <v>29630</v>
      </c>
      <c r="J125" s="15">
        <v>3</v>
      </c>
      <c r="K125" s="17" t="s">
        <v>300</v>
      </c>
      <c r="M125" s="2" t="str">
        <f>"4L2J"</f>
        <v/>
      </c>
    </row>
    <row r="126" spans="1:15" x14ac:dyDescent="0.35">
      <c r="A126" s="18">
        <v>63074</v>
      </c>
      <c r="B126" s="18" t="s">
        <v>590</v>
      </c>
      <c r="C126" s="14" t="s">
        <v>301</v>
      </c>
      <c r="D126" s="15">
        <v>9</v>
      </c>
      <c r="E126" s="15"/>
      <c r="F126" s="15" t="s">
        <v>61</v>
      </c>
      <c r="G126" s="15">
        <v>2963</v>
      </c>
      <c r="H126" s="15" t="s">
        <v>170</v>
      </c>
      <c r="I126" s="16">
        <v>41852</v>
      </c>
      <c r="J126" s="15">
        <v>5</v>
      </c>
      <c r="K126" s="17" t="s">
        <v>302</v>
      </c>
      <c r="L126" s="1" t="str">
        <f t="shared" ref="L126:L132" si="15">"GXEVCTAR8P6N4L2J0HYF"</f>
        <v>GXEVCTAR8P6N4L2J0HYF</v>
      </c>
      <c r="M126" s="2" t="str">
        <f>"TAR8P6N4L2J0HYFWD"</f>
        <v>TAR8P6N4L2J0HYFWD</v>
      </c>
      <c r="N126" s="1" t="s">
        <v>64</v>
      </c>
      <c r="O126" s="1">
        <v>1741</v>
      </c>
    </row>
    <row r="127" spans="1:15" x14ac:dyDescent="0.35">
      <c r="A127" s="18">
        <v>18529</v>
      </c>
      <c r="B127" s="18" t="s">
        <v>590</v>
      </c>
      <c r="C127" s="14" t="s">
        <v>303</v>
      </c>
      <c r="D127" s="15">
        <v>4</v>
      </c>
      <c r="E127" s="15"/>
      <c r="F127" s="15" t="s">
        <v>61</v>
      </c>
      <c r="G127" s="15">
        <v>7418</v>
      </c>
      <c r="H127" s="15" t="s">
        <v>170</v>
      </c>
      <c r="I127" s="16">
        <v>96307</v>
      </c>
      <c r="J127" s="15">
        <v>1</v>
      </c>
      <c r="K127" s="17" t="s">
        <v>304</v>
      </c>
      <c r="L127" s="1" t="str">
        <f t="shared" si="15"/>
        <v>VCTAR8P6N4L2J0HYFWDU</v>
      </c>
      <c r="M127" s="2" t="str">
        <f>"8P6N4L2J0HYFWDU"</f>
        <v>8P6N4L2J0HYFWDU</v>
      </c>
      <c r="N127" s="1" t="s">
        <v>64</v>
      </c>
      <c r="O127" s="1">
        <v>5296</v>
      </c>
    </row>
    <row r="128" spans="1:15" x14ac:dyDescent="0.35">
      <c r="A128" s="18">
        <v>63074</v>
      </c>
      <c r="B128" s="18" t="s">
        <v>590</v>
      </c>
      <c r="C128" s="14" t="s">
        <v>305</v>
      </c>
      <c r="D128" s="15">
        <v>9</v>
      </c>
      <c r="E128" s="15"/>
      <c r="F128" s="15" t="s">
        <v>61</v>
      </c>
      <c r="G128" s="15">
        <v>2963</v>
      </c>
      <c r="H128" s="15" t="s">
        <v>170</v>
      </c>
      <c r="I128" s="16">
        <v>41852</v>
      </c>
      <c r="J128" s="15">
        <v>5</v>
      </c>
      <c r="K128" s="17" t="s">
        <v>306</v>
      </c>
      <c r="L128" s="1" t="str">
        <f t="shared" si="15"/>
        <v>AR8P6N4L2J0HYFWDUBS9</v>
      </c>
      <c r="M128" s="2" t="str">
        <f>"N4L2J0HYFWDUBS9Q7"</f>
        <v>N4L2J0HYFWDUBS9Q7</v>
      </c>
      <c r="N128" s="1" t="s">
        <v>64</v>
      </c>
      <c r="O128" s="1">
        <v>1741</v>
      </c>
    </row>
    <row r="129" spans="1:15" x14ac:dyDescent="0.35">
      <c r="A129" s="18">
        <v>18529</v>
      </c>
      <c r="B129" s="18" t="s">
        <v>590</v>
      </c>
      <c r="C129" s="14" t="s">
        <v>307</v>
      </c>
      <c r="D129" s="15">
        <v>4</v>
      </c>
      <c r="E129" s="15"/>
      <c r="F129" s="15" t="s">
        <v>61</v>
      </c>
      <c r="G129" s="15">
        <v>7418</v>
      </c>
      <c r="H129" s="15" t="s">
        <v>170</v>
      </c>
      <c r="I129" s="16">
        <v>96307</v>
      </c>
      <c r="J129" s="15">
        <v>1</v>
      </c>
      <c r="K129" s="17" t="s">
        <v>308</v>
      </c>
      <c r="L129" s="1" t="str">
        <f t="shared" si="15"/>
        <v>P6N4L2J0HYFWDUBS9Q7O</v>
      </c>
      <c r="M129" s="2" t="str">
        <f>"2J0HYFWDUBS9Q7O5M3"</f>
        <v>2J0HYFWDUBS9Q7O5M3</v>
      </c>
      <c r="N129" s="1" t="s">
        <v>64</v>
      </c>
      <c r="O129" s="1">
        <v>5296</v>
      </c>
    </row>
    <row r="130" spans="1:15" x14ac:dyDescent="0.35">
      <c r="A130" s="18">
        <v>63074</v>
      </c>
      <c r="B130" s="18" t="s">
        <v>590</v>
      </c>
      <c r="C130" s="14" t="s">
        <v>309</v>
      </c>
      <c r="D130" s="15">
        <v>9</v>
      </c>
      <c r="E130" s="15"/>
      <c r="F130" s="15" t="s">
        <v>61</v>
      </c>
      <c r="G130" s="15">
        <v>2963</v>
      </c>
      <c r="H130" s="15" t="s">
        <v>170</v>
      </c>
      <c r="I130" s="16">
        <v>41852</v>
      </c>
      <c r="J130" s="15">
        <v>5</v>
      </c>
      <c r="K130" s="17" t="s">
        <v>310</v>
      </c>
      <c r="L130" s="1" t="str">
        <f t="shared" si="15"/>
        <v>4L2J0HYFWDUBS9Q7O5M3</v>
      </c>
      <c r="M130" s="2" t="str">
        <f>"HYFWDUBS9Q7O5M3K1"</f>
        <v>HYFWDUBS9Q7O5M3K1</v>
      </c>
      <c r="N130" s="1" t="s">
        <v>64</v>
      </c>
      <c r="O130" s="1">
        <v>1741</v>
      </c>
    </row>
    <row r="131" spans="1:15" x14ac:dyDescent="0.35">
      <c r="A131" s="18">
        <v>18529</v>
      </c>
      <c r="B131" s="18" t="s">
        <v>590</v>
      </c>
      <c r="C131" s="14" t="s">
        <v>311</v>
      </c>
      <c r="D131" s="15">
        <v>4</v>
      </c>
      <c r="E131" s="15"/>
      <c r="F131" s="15" t="s">
        <v>61</v>
      </c>
      <c r="G131" s="15">
        <v>7418</v>
      </c>
      <c r="H131" s="15" t="s">
        <v>170</v>
      </c>
      <c r="I131" s="16">
        <v>96307</v>
      </c>
      <c r="J131" s="15">
        <v>1</v>
      </c>
      <c r="K131" s="17" t="s">
        <v>312</v>
      </c>
      <c r="L131" s="1" t="str">
        <f t="shared" si="15"/>
        <v>J0HYFWDUBS9Q7O5M3K1I</v>
      </c>
      <c r="M131" s="2" t="str">
        <f>"WDUBS9Q7O5M3K1IZG"</f>
        <v>WDUBS9Q7O5M3K1IZG</v>
      </c>
      <c r="N131" s="1" t="s">
        <v>64</v>
      </c>
      <c r="O131" s="1">
        <v>5296</v>
      </c>
    </row>
    <row r="132" spans="1:15" x14ac:dyDescent="0.35">
      <c r="A132" s="18">
        <v>63074</v>
      </c>
      <c r="B132" s="18" t="s">
        <v>590</v>
      </c>
      <c r="C132" s="14" t="s">
        <v>313</v>
      </c>
      <c r="D132" s="15">
        <v>9</v>
      </c>
      <c r="E132" s="15"/>
      <c r="F132" s="15" t="s">
        <v>61</v>
      </c>
      <c r="G132" s="15">
        <v>2963</v>
      </c>
      <c r="H132" s="15" t="s">
        <v>170</v>
      </c>
      <c r="I132" s="16">
        <v>41852</v>
      </c>
      <c r="J132" s="15">
        <v>5</v>
      </c>
      <c r="K132" s="17" t="s">
        <v>314</v>
      </c>
      <c r="L132" s="1" t="str">
        <f t="shared" si="15"/>
        <v>YFWDUBS9Q7O5M3K1IZGX</v>
      </c>
      <c r="M132" s="2" t="str">
        <f>"BS9Q7O5M3K1IZGXEV"</f>
        <v>BS9Q7O5M3K1IZGXEV</v>
      </c>
      <c r="N132" s="1" t="s">
        <v>64</v>
      </c>
      <c r="O132" s="1">
        <v>1741</v>
      </c>
    </row>
    <row r="133" spans="1:15" x14ac:dyDescent="0.35">
      <c r="A133" s="18">
        <v>18529</v>
      </c>
      <c r="B133" s="18" t="s">
        <v>590</v>
      </c>
      <c r="C133" s="14" t="s">
        <v>315</v>
      </c>
      <c r="D133" s="15">
        <v>4</v>
      </c>
      <c r="E133" s="15"/>
      <c r="F133" s="15" t="s">
        <v>61</v>
      </c>
      <c r="G133" s="15">
        <v>7418</v>
      </c>
      <c r="H133" s="15" t="s">
        <v>68</v>
      </c>
      <c r="I133" s="16">
        <v>96307</v>
      </c>
      <c r="J133" s="15">
        <v>1</v>
      </c>
      <c r="K133" s="17" t="s">
        <v>316</v>
      </c>
      <c r="M133" s="2" t="str">
        <f>"DUBS"</f>
        <v/>
      </c>
    </row>
    <row r="134" spans="1:15" x14ac:dyDescent="0.35">
      <c r="A134" s="18">
        <v>30741</v>
      </c>
      <c r="B134" s="18" t="s">
        <v>590</v>
      </c>
      <c r="C134" s="14" t="s">
        <v>317</v>
      </c>
      <c r="D134" s="15">
        <v>6</v>
      </c>
      <c r="E134" s="15"/>
      <c r="F134" s="15" t="s">
        <v>61</v>
      </c>
      <c r="G134" s="15">
        <v>9630</v>
      </c>
      <c r="H134" s="15" t="s">
        <v>68</v>
      </c>
      <c r="I134" s="16">
        <v>18529</v>
      </c>
      <c r="J134" s="15">
        <v>2</v>
      </c>
      <c r="K134" s="17" t="s">
        <v>318</v>
      </c>
      <c r="M134" s="2" t="str">
        <f>"P6N4"</f>
        <v/>
      </c>
    </row>
    <row r="135" spans="1:15" x14ac:dyDescent="0.35">
      <c r="A135" s="18">
        <v>52963</v>
      </c>
      <c r="B135" s="18" t="s">
        <v>590</v>
      </c>
      <c r="C135" s="14" t="s">
        <v>319</v>
      </c>
      <c r="D135" s="15">
        <v>8</v>
      </c>
      <c r="E135" s="15"/>
      <c r="F135" s="15" t="s">
        <v>61</v>
      </c>
      <c r="G135" s="15">
        <v>1852</v>
      </c>
      <c r="H135" s="15" t="s">
        <v>68</v>
      </c>
      <c r="I135" s="16">
        <v>30741</v>
      </c>
      <c r="J135" s="15">
        <v>4</v>
      </c>
      <c r="K135" s="17" t="s">
        <v>320</v>
      </c>
      <c r="M135" s="2" t="str">
        <f>"1IZG"</f>
        <v/>
      </c>
    </row>
    <row r="136" spans="1:15" x14ac:dyDescent="0.35">
      <c r="A136" s="18">
        <v>74185</v>
      </c>
      <c r="B136" s="18" t="s">
        <v>590</v>
      </c>
      <c r="C136" s="14" t="s">
        <v>321</v>
      </c>
      <c r="D136" s="15">
        <v>1</v>
      </c>
      <c r="E136" s="15"/>
      <c r="F136" s="15" t="s">
        <v>61</v>
      </c>
      <c r="G136" s="15">
        <v>3074</v>
      </c>
      <c r="H136" s="15" t="s">
        <v>68</v>
      </c>
      <c r="I136" s="16">
        <v>52963</v>
      </c>
      <c r="J136" s="15">
        <v>6</v>
      </c>
      <c r="K136" s="17" t="s">
        <v>322</v>
      </c>
      <c r="M136" s="2" t="str">
        <f>"DUBS"</f>
        <v/>
      </c>
    </row>
    <row r="137" spans="1:15" x14ac:dyDescent="0.35">
      <c r="A137" s="18">
        <v>96307</v>
      </c>
      <c r="B137" s="18" t="s">
        <v>590</v>
      </c>
      <c r="C137" s="14" t="s">
        <v>323</v>
      </c>
      <c r="D137" s="15">
        <v>2</v>
      </c>
      <c r="E137" s="15"/>
      <c r="F137" s="15" t="s">
        <v>61</v>
      </c>
      <c r="G137" s="15">
        <v>5296</v>
      </c>
      <c r="H137" s="15" t="s">
        <v>68</v>
      </c>
      <c r="I137" s="16">
        <v>74185</v>
      </c>
      <c r="J137" s="15">
        <v>8</v>
      </c>
      <c r="K137" s="17" t="s">
        <v>324</v>
      </c>
      <c r="M137" s="2" t="str">
        <f>"P6N4"</f>
        <v/>
      </c>
    </row>
    <row r="138" spans="1:15" x14ac:dyDescent="0.35">
      <c r="A138" s="18">
        <v>18529</v>
      </c>
      <c r="B138" s="18" t="s">
        <v>590</v>
      </c>
      <c r="C138" s="14" t="s">
        <v>325</v>
      </c>
      <c r="D138" s="15">
        <v>4</v>
      </c>
      <c r="E138" s="15"/>
      <c r="F138" s="15" t="s">
        <v>61</v>
      </c>
      <c r="G138" s="15">
        <v>7418</v>
      </c>
      <c r="H138" s="15" t="s">
        <v>68</v>
      </c>
      <c r="I138" s="16">
        <v>96307</v>
      </c>
      <c r="J138" s="15">
        <v>1</v>
      </c>
      <c r="K138" s="17" t="s">
        <v>326</v>
      </c>
      <c r="M138" s="2" t="str">
        <f>"1IZG"</f>
        <v/>
      </c>
    </row>
    <row r="139" spans="1:15" x14ac:dyDescent="0.35">
      <c r="A139" s="18">
        <v>30741</v>
      </c>
      <c r="B139" s="18" t="s">
        <v>590</v>
      </c>
      <c r="C139" s="14" t="s">
        <v>327</v>
      </c>
      <c r="D139" s="15">
        <v>6</v>
      </c>
      <c r="E139" s="15"/>
      <c r="F139" s="15" t="s">
        <v>61</v>
      </c>
      <c r="G139" s="15">
        <v>9630</v>
      </c>
      <c r="H139" s="15" t="s">
        <v>170</v>
      </c>
      <c r="I139" s="16">
        <v>18529</v>
      </c>
      <c r="J139" s="15">
        <v>2</v>
      </c>
      <c r="K139" s="17" t="s">
        <v>328</v>
      </c>
      <c r="L139" s="1" t="str">
        <f>"DUBS9Q7O5M3K1IZGX"</f>
        <v>DUBS9Q7O5M3K1IZGX</v>
      </c>
      <c r="M139" s="2" t="str">
        <f>"Q7O5M3K1I"</f>
        <v>Q7O5M3K1I</v>
      </c>
      <c r="N139" s="1" t="s">
        <v>102</v>
      </c>
      <c r="O139" s="1">
        <v>74</v>
      </c>
    </row>
    <row r="140" spans="1:15" x14ac:dyDescent="0.35">
      <c r="A140" s="18">
        <v>85296</v>
      </c>
      <c r="B140" s="18" t="s">
        <v>590</v>
      </c>
      <c r="C140" s="14" t="s">
        <v>329</v>
      </c>
      <c r="D140" s="15">
        <v>1</v>
      </c>
      <c r="E140" s="15"/>
      <c r="F140" s="15" t="s">
        <v>61</v>
      </c>
      <c r="G140" s="15">
        <v>4185</v>
      </c>
      <c r="H140" s="15" t="s">
        <v>68</v>
      </c>
      <c r="I140" s="16">
        <v>63074</v>
      </c>
      <c r="J140" s="15">
        <v>7</v>
      </c>
      <c r="K140" s="17" t="s">
        <v>330</v>
      </c>
      <c r="M140" s="2" t="str">
        <f>"S9Q7"</f>
        <v/>
      </c>
    </row>
    <row r="141" spans="1:15" x14ac:dyDescent="0.35">
      <c r="A141" s="18">
        <v>17418</v>
      </c>
      <c r="B141" s="18" t="s">
        <v>590</v>
      </c>
      <c r="C141" s="14" t="s">
        <v>331</v>
      </c>
      <c r="D141" s="15">
        <v>3</v>
      </c>
      <c r="E141" s="15"/>
      <c r="F141" s="15" t="s">
        <v>61</v>
      </c>
      <c r="G141" s="15">
        <v>6307</v>
      </c>
      <c r="H141" s="15" t="s">
        <v>170</v>
      </c>
      <c r="I141" s="16">
        <v>85296</v>
      </c>
      <c r="J141" s="15">
        <v>9</v>
      </c>
      <c r="K141" s="17" t="s">
        <v>332</v>
      </c>
      <c r="L141" s="1" t="str">
        <f>"4L2J0HYFWDUBS9Q7O5M3"</f>
        <v>4L2J0HYFWDUBS9Q7O5M3</v>
      </c>
      <c r="M141" s="2" t="str">
        <f>"HYFWDUBS9Q7O5M3"</f>
        <v>HYFWDUBS9Q7O5M3</v>
      </c>
      <c r="N141" s="1" t="s">
        <v>64</v>
      </c>
      <c r="O141" s="1">
        <v>4185</v>
      </c>
    </row>
    <row r="142" spans="1:15" x14ac:dyDescent="0.35">
      <c r="A142" s="18">
        <v>52963</v>
      </c>
      <c r="B142" s="18" t="s">
        <v>590</v>
      </c>
      <c r="C142" s="14" t="s">
        <v>333</v>
      </c>
      <c r="D142" s="15">
        <v>8</v>
      </c>
      <c r="E142" s="15"/>
      <c r="F142" s="15" t="s">
        <v>61</v>
      </c>
      <c r="G142" s="15">
        <v>1852</v>
      </c>
      <c r="H142" s="15" t="s">
        <v>170</v>
      </c>
      <c r="I142" s="16">
        <v>30741</v>
      </c>
      <c r="J142" s="15">
        <v>4</v>
      </c>
      <c r="K142" s="17" t="s">
        <v>334</v>
      </c>
      <c r="L142" s="1" t="str">
        <f>"J0HYFWDUBS9Q7O5M3K1I"</f>
        <v>J0HYFWDUBS9Q7O5M3K1I</v>
      </c>
      <c r="M142" s="2" t="str">
        <f>"WDUBS9Q7O5M3K1IZG"</f>
        <v>WDUBS9Q7O5M3K1IZG</v>
      </c>
      <c r="N142" s="1" t="s">
        <v>64</v>
      </c>
      <c r="O142" s="1">
        <v>9630</v>
      </c>
    </row>
    <row r="143" spans="1:15" x14ac:dyDescent="0.35">
      <c r="A143" s="18">
        <v>17418</v>
      </c>
      <c r="B143" s="18" t="s">
        <v>590</v>
      </c>
      <c r="C143" s="14" t="s">
        <v>335</v>
      </c>
      <c r="D143" s="15">
        <v>3</v>
      </c>
      <c r="E143" s="15"/>
      <c r="F143" s="15" t="s">
        <v>61</v>
      </c>
      <c r="G143" s="15">
        <v>6307</v>
      </c>
      <c r="H143" s="15" t="s">
        <v>68</v>
      </c>
      <c r="I143" s="16">
        <v>85296</v>
      </c>
      <c r="J143" s="15">
        <v>9</v>
      </c>
      <c r="K143" s="17" t="s">
        <v>336</v>
      </c>
      <c r="M143" s="2" t="str">
        <f>"YFWD"</f>
        <v/>
      </c>
    </row>
    <row r="144" spans="1:15" x14ac:dyDescent="0.35">
      <c r="A144" s="18">
        <v>29630</v>
      </c>
      <c r="B144" s="18" t="s">
        <v>590</v>
      </c>
      <c r="C144" s="14" t="s">
        <v>337</v>
      </c>
      <c r="D144" s="15">
        <v>5</v>
      </c>
      <c r="E144" s="15"/>
      <c r="F144" s="15" t="s">
        <v>61</v>
      </c>
      <c r="G144" s="15">
        <v>8529</v>
      </c>
      <c r="H144" s="15" t="s">
        <v>170</v>
      </c>
      <c r="I144" s="16">
        <v>17418</v>
      </c>
      <c r="J144" s="15">
        <v>1</v>
      </c>
      <c r="K144" s="17" t="s">
        <v>338</v>
      </c>
      <c r="L144" s="1" t="str">
        <f>"AR8P6N4L2J0HYFWDUBS9"</f>
        <v>AR8P6N4L2J0HYFWDUBS9</v>
      </c>
      <c r="M144" s="2" t="str">
        <f>"N4L2J0HYFWDUBS9Q7"</f>
        <v>N4L2J0HYFWDUBS9Q7</v>
      </c>
      <c r="N144" s="1" t="s">
        <v>64</v>
      </c>
      <c r="O144" s="1">
        <v>6307</v>
      </c>
    </row>
    <row r="145" spans="1:15" x14ac:dyDescent="0.35">
      <c r="A145" s="18">
        <v>74185</v>
      </c>
      <c r="B145" s="18" t="s">
        <v>590</v>
      </c>
      <c r="C145" s="14" t="s">
        <v>339</v>
      </c>
      <c r="D145" s="15">
        <v>1</v>
      </c>
      <c r="E145" s="15"/>
      <c r="F145" s="15" t="s">
        <v>61</v>
      </c>
      <c r="G145" s="15">
        <v>3074</v>
      </c>
      <c r="H145" s="15" t="s">
        <v>170</v>
      </c>
      <c r="I145" s="16">
        <v>52963</v>
      </c>
      <c r="J145" s="15">
        <v>6</v>
      </c>
      <c r="K145" s="17" t="s">
        <v>340</v>
      </c>
      <c r="L145" s="1" t="str">
        <f>"P6N4L2J0HYFWDUBS9Q7O"</f>
        <v>P6N4L2J0HYFWDUBS9Q7O</v>
      </c>
      <c r="M145" s="2" t="str">
        <f>"2J0HYFWDUBS9Q7O5M"</f>
        <v>2J0HYFWDUBS9Q7O5M</v>
      </c>
      <c r="N145" s="1" t="s">
        <v>64</v>
      </c>
      <c r="O145" s="1">
        <v>1852</v>
      </c>
    </row>
    <row r="146" spans="1:15" x14ac:dyDescent="0.35">
      <c r="A146" s="18">
        <v>29630</v>
      </c>
      <c r="B146" s="18" t="s">
        <v>590</v>
      </c>
      <c r="C146" s="14" t="s">
        <v>341</v>
      </c>
      <c r="D146" s="15">
        <v>5</v>
      </c>
      <c r="E146" s="15"/>
      <c r="F146" s="15" t="s">
        <v>61</v>
      </c>
      <c r="G146" s="15">
        <v>8529</v>
      </c>
      <c r="H146" s="15" t="s">
        <v>68</v>
      </c>
      <c r="I146" s="16">
        <v>17418</v>
      </c>
      <c r="J146" s="15">
        <v>1</v>
      </c>
      <c r="K146" s="17" t="s">
        <v>342</v>
      </c>
      <c r="M146" s="2" t="str">
        <f>"4L2J"</f>
        <v/>
      </c>
    </row>
    <row r="147" spans="1:15" x14ac:dyDescent="0.35">
      <c r="A147" s="18">
        <v>41852</v>
      </c>
      <c r="B147" s="18" t="s">
        <v>590</v>
      </c>
      <c r="C147" s="14" t="s">
        <v>343</v>
      </c>
      <c r="D147" s="15">
        <v>7</v>
      </c>
      <c r="E147" s="15"/>
      <c r="F147" s="15" t="s">
        <v>61</v>
      </c>
      <c r="G147" s="15">
        <v>1741</v>
      </c>
      <c r="H147" s="15" t="s">
        <v>170</v>
      </c>
      <c r="I147" s="16">
        <v>29630</v>
      </c>
      <c r="J147" s="15">
        <v>3</v>
      </c>
      <c r="K147" s="17" t="s">
        <v>344</v>
      </c>
      <c r="L147" s="1" t="str">
        <f>"GXEVCTAR8P6N4L2J0HYF"</f>
        <v>GXEVCTAR8P6N4L2J0HYF</v>
      </c>
      <c r="M147" s="2" t="str">
        <f>"TAR8P6N4L2J0HYFWD"</f>
        <v>TAR8P6N4L2J0HYFWD</v>
      </c>
      <c r="N147" s="1" t="s">
        <v>64</v>
      </c>
      <c r="O147" s="1">
        <v>8529</v>
      </c>
    </row>
    <row r="148" spans="1:15" x14ac:dyDescent="0.35">
      <c r="A148" s="18">
        <v>96307</v>
      </c>
      <c r="B148" s="18" t="s">
        <v>590</v>
      </c>
      <c r="C148" s="14" t="s">
        <v>345</v>
      </c>
      <c r="D148" s="15">
        <v>2</v>
      </c>
      <c r="E148" s="15"/>
      <c r="F148" s="15" t="s">
        <v>61</v>
      </c>
      <c r="G148" s="15">
        <v>5296</v>
      </c>
      <c r="H148" s="15" t="s">
        <v>68</v>
      </c>
      <c r="I148" s="16">
        <v>74185</v>
      </c>
      <c r="J148" s="15">
        <v>8</v>
      </c>
      <c r="K148" s="17" t="s">
        <v>346</v>
      </c>
      <c r="M148" s="2" t="str">
        <f>"VCTA"</f>
        <v/>
      </c>
    </row>
    <row r="149" spans="1:15" x14ac:dyDescent="0.35">
      <c r="A149" s="18">
        <v>18529</v>
      </c>
      <c r="B149" s="18" t="s">
        <v>590</v>
      </c>
      <c r="C149" s="14" t="s">
        <v>347</v>
      </c>
      <c r="D149" s="15">
        <v>4</v>
      </c>
      <c r="E149" s="15"/>
      <c r="F149" s="15" t="s">
        <v>61</v>
      </c>
      <c r="G149" s="15">
        <v>7418</v>
      </c>
      <c r="H149" s="15" t="s">
        <v>170</v>
      </c>
      <c r="I149" s="16">
        <v>96307</v>
      </c>
      <c r="J149" s="15">
        <v>1</v>
      </c>
      <c r="K149" s="17" t="s">
        <v>348</v>
      </c>
      <c r="L149" s="1" t="str">
        <f>"7O5M3K1IZGXEVCTAR8P6"</f>
        <v>7O5M3K1IZGXEVCTAR8P6</v>
      </c>
      <c r="M149" s="2" t="str">
        <f>"K1IZGXEVCTAR8P6N4"</f>
        <v>K1IZGXEVCTAR8P6N4</v>
      </c>
      <c r="N149" s="1" t="s">
        <v>64</v>
      </c>
      <c r="O149" s="1">
        <v>5296</v>
      </c>
    </row>
    <row r="150" spans="1:15" x14ac:dyDescent="0.35">
      <c r="A150" s="18">
        <v>63074</v>
      </c>
      <c r="B150" s="18" t="s">
        <v>590</v>
      </c>
      <c r="C150" s="14" t="s">
        <v>349</v>
      </c>
      <c r="D150" s="15">
        <v>9</v>
      </c>
      <c r="E150" s="15"/>
      <c r="F150" s="15" t="s">
        <v>61</v>
      </c>
      <c r="G150" s="15">
        <v>2963</v>
      </c>
      <c r="H150" s="15" t="s">
        <v>170</v>
      </c>
      <c r="I150" s="16">
        <v>41852</v>
      </c>
      <c r="J150" s="15">
        <v>5</v>
      </c>
      <c r="K150" s="17" t="s">
        <v>350</v>
      </c>
      <c r="L150" s="1" t="str">
        <f>"M3K1IZGXEVCTAR8P6N4L"</f>
        <v>M3K1IZGXEVCTAR8P6N4L</v>
      </c>
      <c r="M150" s="2" t="str">
        <f>"ZGXEVCTAR8P6N4L2"</f>
        <v>ZGXEVCTAR8P6N4L2</v>
      </c>
      <c r="N150" s="1" t="s">
        <v>64</v>
      </c>
      <c r="O150" s="1">
        <v>1741</v>
      </c>
    </row>
    <row r="151" spans="1:15" x14ac:dyDescent="0.35">
      <c r="A151" s="18">
        <v>18529</v>
      </c>
      <c r="B151" s="18" t="s">
        <v>590</v>
      </c>
      <c r="C151" s="14" t="s">
        <v>351</v>
      </c>
      <c r="D151" s="15">
        <v>4</v>
      </c>
      <c r="E151" s="15"/>
      <c r="F151" s="15" t="s">
        <v>61</v>
      </c>
      <c r="G151" s="15">
        <v>7418</v>
      </c>
      <c r="H151" s="15" t="s">
        <v>170</v>
      </c>
      <c r="I151" s="16">
        <v>96307</v>
      </c>
      <c r="J151" s="15">
        <v>1</v>
      </c>
      <c r="K151" s="17" t="s">
        <v>352</v>
      </c>
      <c r="L151" s="1" t="str">
        <f>"1IZGXEVCTAR8P6N4L2J0"</f>
        <v>1IZGXEVCTAR8P6N4L2J0</v>
      </c>
      <c r="M151" s="2" t="str">
        <f>"EVCTAR8P6N4L2J0HY"</f>
        <v>EVCTAR8P6N4L2J0HY</v>
      </c>
      <c r="N151" s="1" t="s">
        <v>64</v>
      </c>
      <c r="O151" s="1">
        <v>5296</v>
      </c>
    </row>
    <row r="152" spans="1:15" x14ac:dyDescent="0.35">
      <c r="A152" s="18">
        <v>63074</v>
      </c>
      <c r="B152" s="18" t="s">
        <v>590</v>
      </c>
      <c r="C152" s="14" t="s">
        <v>353</v>
      </c>
      <c r="D152" s="15">
        <v>9</v>
      </c>
      <c r="E152" s="15"/>
      <c r="F152" s="15" t="s">
        <v>61</v>
      </c>
      <c r="G152" s="15">
        <v>2963</v>
      </c>
      <c r="H152" s="15" t="s">
        <v>68</v>
      </c>
      <c r="I152" s="16">
        <v>41852</v>
      </c>
      <c r="J152" s="15">
        <v>5</v>
      </c>
      <c r="K152" s="17" t="s">
        <v>354</v>
      </c>
      <c r="M152" s="2" t="str">
        <f>"GXEV"</f>
        <v/>
      </c>
    </row>
    <row r="153" spans="1:15" x14ac:dyDescent="0.35">
      <c r="A153" s="18">
        <v>85296</v>
      </c>
      <c r="B153" s="18" t="s">
        <v>590</v>
      </c>
      <c r="C153" s="14" t="s">
        <v>355</v>
      </c>
      <c r="D153" s="15">
        <v>1</v>
      </c>
      <c r="E153" s="15"/>
      <c r="F153" s="15" t="s">
        <v>61</v>
      </c>
      <c r="G153" s="15">
        <v>4185</v>
      </c>
      <c r="H153" s="15" t="s">
        <v>68</v>
      </c>
      <c r="I153" s="16">
        <v>63074</v>
      </c>
      <c r="J153" s="15">
        <v>7</v>
      </c>
      <c r="K153" s="17" t="s">
        <v>356</v>
      </c>
      <c r="M153" s="2" t="str">
        <f>"S9Q7"</f>
        <v/>
      </c>
    </row>
    <row r="154" spans="1:15" x14ac:dyDescent="0.35">
      <c r="A154" s="18">
        <v>17418</v>
      </c>
      <c r="B154" s="18" t="s">
        <v>590</v>
      </c>
      <c r="C154" s="14" t="s">
        <v>357</v>
      </c>
      <c r="D154" s="15">
        <v>3</v>
      </c>
      <c r="E154" s="15"/>
      <c r="F154" s="15" t="s">
        <v>61</v>
      </c>
      <c r="G154" s="15">
        <v>6307</v>
      </c>
      <c r="H154" s="15" t="s">
        <v>358</v>
      </c>
      <c r="I154" s="16">
        <v>85296</v>
      </c>
      <c r="J154" s="15">
        <v>9</v>
      </c>
      <c r="K154" s="17" t="s">
        <v>359</v>
      </c>
      <c r="L154" s="1" t="str">
        <f>"4L2J0HYFWDUBS9Q7O"</f>
        <v>4L2J0HYFWDUBS9Q7O</v>
      </c>
      <c r="M154" s="2" t="str">
        <f>"HYFWDUBS9"</f>
        <v>HYFWDUBS9</v>
      </c>
      <c r="N154" s="1" t="s">
        <v>102</v>
      </c>
      <c r="O154" s="1">
        <v>41</v>
      </c>
    </row>
    <row r="155" spans="1:15" x14ac:dyDescent="0.35">
      <c r="A155" s="18">
        <v>52963</v>
      </c>
      <c r="B155" s="18" t="s">
        <v>590</v>
      </c>
      <c r="C155" s="14" t="s">
        <v>360</v>
      </c>
      <c r="D155" s="15">
        <v>8</v>
      </c>
      <c r="E155" s="15"/>
      <c r="F155" s="15" t="s">
        <v>61</v>
      </c>
      <c r="G155" s="15">
        <v>1852</v>
      </c>
      <c r="H155" s="15" t="s">
        <v>68</v>
      </c>
      <c r="I155" s="16">
        <v>30741</v>
      </c>
      <c r="J155" s="15">
        <v>4</v>
      </c>
      <c r="K155" s="17" t="s">
        <v>361</v>
      </c>
      <c r="M155" s="2" t="str">
        <f>"J0HY"</f>
        <v/>
      </c>
    </row>
    <row r="156" spans="1:15" x14ac:dyDescent="0.35">
      <c r="A156" s="18">
        <v>74185</v>
      </c>
      <c r="B156" s="18" t="s">
        <v>590</v>
      </c>
      <c r="C156" s="14" t="s">
        <v>362</v>
      </c>
      <c r="D156" s="15">
        <v>1</v>
      </c>
      <c r="E156" s="15"/>
      <c r="F156" s="15" t="s">
        <v>61</v>
      </c>
      <c r="G156" s="15">
        <v>3074</v>
      </c>
      <c r="H156" s="15" t="s">
        <v>358</v>
      </c>
      <c r="I156" s="16">
        <v>52963</v>
      </c>
      <c r="J156" s="15">
        <v>6</v>
      </c>
      <c r="K156" s="17" t="s">
        <v>363</v>
      </c>
      <c r="L156" s="1" t="str">
        <f>"VCTAR8P6N4L2J0HYFWDU"</f>
        <v>VCTAR8P6N4L2J0HYFWDU</v>
      </c>
      <c r="M156" s="2" t="str">
        <f>"8P6N4L2J0HYFWDUB"</f>
        <v>8P6N4L2J0HYFWDUB</v>
      </c>
      <c r="N156" s="1" t="s">
        <v>64</v>
      </c>
      <c r="O156" s="1">
        <v>1852</v>
      </c>
    </row>
    <row r="157" spans="1:15" x14ac:dyDescent="0.35">
      <c r="A157" s="18">
        <v>29630</v>
      </c>
      <c r="B157" s="18" t="s">
        <v>590</v>
      </c>
      <c r="C157" s="14" t="s">
        <v>364</v>
      </c>
      <c r="D157" s="15">
        <v>5</v>
      </c>
      <c r="E157" s="15"/>
      <c r="F157" s="15" t="s">
        <v>61</v>
      </c>
      <c r="G157" s="15">
        <v>8529</v>
      </c>
      <c r="H157" s="15" t="s">
        <v>68</v>
      </c>
      <c r="I157" s="16">
        <v>17418</v>
      </c>
      <c r="J157" s="15">
        <v>1</v>
      </c>
      <c r="K157" s="17" t="s">
        <v>365</v>
      </c>
      <c r="M157" s="2" t="str">
        <f>"AR8P"</f>
        <v/>
      </c>
    </row>
    <row r="158" spans="1:15" x14ac:dyDescent="0.35">
      <c r="A158" s="18">
        <v>41852</v>
      </c>
      <c r="B158" s="18" t="s">
        <v>590</v>
      </c>
      <c r="C158" s="14" t="s">
        <v>366</v>
      </c>
      <c r="D158" s="15">
        <v>7</v>
      </c>
      <c r="E158" s="15"/>
      <c r="F158" s="15" t="s">
        <v>61</v>
      </c>
      <c r="G158" s="15">
        <v>1741</v>
      </c>
      <c r="H158" s="15" t="s">
        <v>358</v>
      </c>
      <c r="I158" s="16">
        <v>29630</v>
      </c>
      <c r="J158" s="15">
        <v>3</v>
      </c>
      <c r="K158" s="17" t="s">
        <v>367</v>
      </c>
      <c r="L158" s="1" t="str">
        <f>"M3K1IZGXEVCTAR8P6N4L"</f>
        <v>M3K1IZGXEVCTAR8P6N4L</v>
      </c>
      <c r="M158" s="2" t="str">
        <f>"ZGXEVCTAR8P6N4L2J"</f>
        <v>ZGXEVCTAR8P6N4L2J</v>
      </c>
      <c r="N158" s="1" t="s">
        <v>64</v>
      </c>
      <c r="O158" s="1">
        <v>8529</v>
      </c>
    </row>
    <row r="159" spans="1:15" x14ac:dyDescent="0.35">
      <c r="A159" s="18">
        <v>96307</v>
      </c>
      <c r="B159" s="18" t="s">
        <v>590</v>
      </c>
      <c r="C159" s="14" t="s">
        <v>368</v>
      </c>
      <c r="D159" s="15">
        <v>2</v>
      </c>
      <c r="E159" s="15"/>
      <c r="F159" s="15" t="s">
        <v>61</v>
      </c>
      <c r="G159" s="15">
        <v>5296</v>
      </c>
      <c r="H159" s="15" t="s">
        <v>358</v>
      </c>
      <c r="I159" s="16">
        <v>74185</v>
      </c>
      <c r="J159" s="15">
        <v>8</v>
      </c>
      <c r="K159" s="17" t="s">
        <v>369</v>
      </c>
      <c r="L159" s="1" t="str">
        <f>"1IZGXEVCTAR8P6N4L2J0"</f>
        <v>1IZGXEVCTAR8P6N4L2J0</v>
      </c>
      <c r="M159" s="2" t="str">
        <f>"EVCTAR8P6N4L2J0HY"</f>
        <v>EVCTAR8P6N4L2J0HY</v>
      </c>
      <c r="N159" s="1" t="s">
        <v>64</v>
      </c>
      <c r="O159" s="1">
        <v>3074</v>
      </c>
    </row>
    <row r="160" spans="1:15" x14ac:dyDescent="0.35">
      <c r="A160" s="18">
        <v>41852</v>
      </c>
      <c r="B160" s="18" t="s">
        <v>590</v>
      </c>
      <c r="C160" s="14" t="s">
        <v>370</v>
      </c>
      <c r="D160" s="15">
        <v>7</v>
      </c>
      <c r="E160" s="15"/>
      <c r="F160" s="15" t="s">
        <v>61</v>
      </c>
      <c r="G160" s="15">
        <v>1741</v>
      </c>
      <c r="H160" s="15" t="s">
        <v>68</v>
      </c>
      <c r="I160" s="16">
        <v>29630</v>
      </c>
      <c r="J160" s="15">
        <v>3</v>
      </c>
      <c r="K160" s="17" t="s">
        <v>371</v>
      </c>
      <c r="M160" s="2" t="str">
        <f>"GXEV"</f>
        <v/>
      </c>
    </row>
    <row r="161" spans="1:15" x14ac:dyDescent="0.35">
      <c r="A161" s="18">
        <v>63074</v>
      </c>
      <c r="B161" s="18" t="s">
        <v>590</v>
      </c>
      <c r="C161" s="14" t="s">
        <v>372</v>
      </c>
      <c r="D161" s="15">
        <v>9</v>
      </c>
      <c r="E161" s="15"/>
      <c r="F161" s="15" t="s">
        <v>61</v>
      </c>
      <c r="G161" s="15">
        <v>2963</v>
      </c>
      <c r="H161" s="15" t="s">
        <v>358</v>
      </c>
      <c r="I161" s="16">
        <v>41852</v>
      </c>
      <c r="J161" s="15">
        <v>5</v>
      </c>
      <c r="K161" s="17" t="s">
        <v>373</v>
      </c>
      <c r="L161" s="1" t="str">
        <f>"S9Q7O5M3K1IZGXEVCTAR"</f>
        <v>S9Q7O5M3K1IZGXEVCTAR</v>
      </c>
      <c r="M161" s="2" t="str">
        <f>"5M3K1IZGXEVCTAR8P"</f>
        <v>5M3K1IZGXEVCTAR8P</v>
      </c>
      <c r="N161" s="1" t="s">
        <v>64</v>
      </c>
      <c r="O161" s="1">
        <v>1741</v>
      </c>
    </row>
    <row r="162" spans="1:15" x14ac:dyDescent="0.35">
      <c r="A162" s="18">
        <v>18529</v>
      </c>
      <c r="B162" s="18" t="s">
        <v>590</v>
      </c>
      <c r="C162" s="14" t="s">
        <v>374</v>
      </c>
      <c r="D162" s="15">
        <v>4</v>
      </c>
      <c r="E162" s="15"/>
      <c r="F162" s="15" t="s">
        <v>61</v>
      </c>
      <c r="G162" s="15">
        <v>7418</v>
      </c>
      <c r="H162" s="15" t="s">
        <v>68</v>
      </c>
      <c r="I162" s="16">
        <v>96307</v>
      </c>
      <c r="J162" s="15">
        <v>1</v>
      </c>
      <c r="K162" s="17" t="s">
        <v>375</v>
      </c>
      <c r="M162" s="2" t="str">
        <f>"7O5M"</f>
        <v/>
      </c>
    </row>
    <row r="163" spans="1:15" x14ac:dyDescent="0.35">
      <c r="A163" s="18">
        <v>30741</v>
      </c>
      <c r="B163" s="18" t="s">
        <v>590</v>
      </c>
      <c r="C163" s="14" t="s">
        <v>376</v>
      </c>
      <c r="D163" s="15">
        <v>6</v>
      </c>
      <c r="E163" s="15"/>
      <c r="F163" s="15" t="s">
        <v>61</v>
      </c>
      <c r="G163" s="15">
        <v>9630</v>
      </c>
      <c r="H163" s="15" t="s">
        <v>358</v>
      </c>
      <c r="I163" s="16">
        <v>18529</v>
      </c>
      <c r="J163" s="15">
        <v>2</v>
      </c>
      <c r="K163" s="17" t="s">
        <v>377</v>
      </c>
      <c r="L163" s="1" t="str">
        <f>"J0HYFWDUBS9Q7O5M3K1I"</f>
        <v>J0HYFWDUBS9Q7O5M3K1I</v>
      </c>
      <c r="M163" s="2" t="str">
        <f>"WDUBS9Q7O5M3K1IZG"</f>
        <v>WDUBS9Q7O5M3K1IZG</v>
      </c>
      <c r="N163" s="1" t="s">
        <v>64</v>
      </c>
      <c r="O163" s="1">
        <v>7418</v>
      </c>
    </row>
    <row r="164" spans="1:15" x14ac:dyDescent="0.35">
      <c r="A164" s="18">
        <v>85296</v>
      </c>
      <c r="B164" s="18" t="s">
        <v>590</v>
      </c>
      <c r="C164" s="14" t="s">
        <v>378</v>
      </c>
      <c r="D164" s="15">
        <v>1</v>
      </c>
      <c r="E164" s="15"/>
      <c r="F164" s="15" t="s">
        <v>61</v>
      </c>
      <c r="G164" s="15">
        <v>4185</v>
      </c>
      <c r="H164" s="15" t="s">
        <v>170</v>
      </c>
      <c r="I164" s="16">
        <v>63074</v>
      </c>
      <c r="J164" s="15">
        <v>7</v>
      </c>
      <c r="K164" s="17" t="s">
        <v>379</v>
      </c>
      <c r="L164" s="1" t="str">
        <f>"YFWDUBS9Q7O5M3K1IZGX"</f>
        <v>YFWDUBS9Q7O5M3K1IZGX</v>
      </c>
      <c r="M164" s="2" t="str">
        <f>"BS9Q7O5M3K1IZGXEV"</f>
        <v>BS9Q7O5M3K1IZGXEV</v>
      </c>
      <c r="N164" s="1" t="s">
        <v>64</v>
      </c>
      <c r="O164" s="1">
        <v>2963</v>
      </c>
    </row>
    <row r="165" spans="1:15" x14ac:dyDescent="0.35">
      <c r="A165" s="18">
        <v>30741</v>
      </c>
      <c r="B165" s="18" t="s">
        <v>590</v>
      </c>
      <c r="C165" s="14" t="s">
        <v>380</v>
      </c>
      <c r="D165" s="15">
        <v>6</v>
      </c>
      <c r="E165" s="15"/>
      <c r="F165" s="15" t="s">
        <v>61</v>
      </c>
      <c r="G165" s="15">
        <v>9630</v>
      </c>
      <c r="H165" s="15" t="s">
        <v>68</v>
      </c>
      <c r="I165" s="16">
        <v>18529</v>
      </c>
      <c r="J165" s="15">
        <v>2</v>
      </c>
      <c r="K165" s="17" t="s">
        <v>381</v>
      </c>
      <c r="M165" s="2" t="str">
        <f>"DUBS"</f>
        <v/>
      </c>
    </row>
    <row r="166" spans="1:15" x14ac:dyDescent="0.35">
      <c r="A166" s="18">
        <v>52963</v>
      </c>
      <c r="B166" s="18" t="s">
        <v>590</v>
      </c>
      <c r="C166" s="14" t="s">
        <v>382</v>
      </c>
      <c r="D166" s="15">
        <v>8</v>
      </c>
      <c r="E166" s="15"/>
      <c r="F166" s="15" t="s">
        <v>61</v>
      </c>
      <c r="G166" s="15">
        <v>1852</v>
      </c>
      <c r="H166" s="15" t="s">
        <v>170</v>
      </c>
      <c r="I166" s="16">
        <v>30741</v>
      </c>
      <c r="J166" s="15">
        <v>4</v>
      </c>
      <c r="K166" s="17" t="s">
        <v>383</v>
      </c>
      <c r="L166" s="1" t="str">
        <f>"P6N4L2J0HYFWDUBS9Q7O5M"</f>
        <v>P6N4L2J0HYFWDUBS9Q7O5M</v>
      </c>
      <c r="M166" s="1" t="s">
        <v>384</v>
      </c>
      <c r="N166" s="1" t="s">
        <v>64</v>
      </c>
      <c r="O166" s="1">
        <v>963074</v>
      </c>
    </row>
    <row r="167" spans="1:15" x14ac:dyDescent="0.35">
      <c r="A167" s="18">
        <v>17418</v>
      </c>
      <c r="B167" s="18" t="s">
        <v>590</v>
      </c>
      <c r="C167" s="14" t="s">
        <v>385</v>
      </c>
      <c r="D167" s="15">
        <v>3</v>
      </c>
      <c r="E167" s="15"/>
      <c r="F167" s="15" t="s">
        <v>61</v>
      </c>
      <c r="G167" s="15">
        <v>6307</v>
      </c>
      <c r="H167" s="15" t="s">
        <v>68</v>
      </c>
      <c r="I167" s="16">
        <v>85296</v>
      </c>
      <c r="J167" s="15">
        <v>9</v>
      </c>
      <c r="K167" s="17" t="s">
        <v>386</v>
      </c>
      <c r="M167" s="2" t="str">
        <f>"4L2J"</f>
        <v/>
      </c>
    </row>
    <row r="168" spans="1:15" x14ac:dyDescent="0.35">
      <c r="A168" s="18">
        <v>29630</v>
      </c>
      <c r="B168" s="18" t="s">
        <v>590</v>
      </c>
      <c r="C168" s="14" t="s">
        <v>387</v>
      </c>
      <c r="D168" s="15">
        <v>5</v>
      </c>
      <c r="E168" s="15"/>
      <c r="F168" s="15" t="s">
        <v>61</v>
      </c>
      <c r="G168" s="15">
        <v>8529</v>
      </c>
      <c r="H168" s="15" t="s">
        <v>68</v>
      </c>
      <c r="I168" s="16">
        <v>17418</v>
      </c>
      <c r="J168" s="15">
        <v>1</v>
      </c>
      <c r="K168" s="17" t="s">
        <v>388</v>
      </c>
      <c r="M168" s="2" t="str">
        <f>"GXEV"</f>
        <v/>
      </c>
    </row>
    <row r="169" spans="1:15" x14ac:dyDescent="0.35">
      <c r="A169" s="18">
        <v>41852</v>
      </c>
      <c r="B169" s="18" t="s">
        <v>590</v>
      </c>
      <c r="C169" s="14" t="s">
        <v>389</v>
      </c>
      <c r="D169" s="15">
        <v>7</v>
      </c>
      <c r="E169" s="15"/>
      <c r="F169" s="15" t="s">
        <v>61</v>
      </c>
      <c r="G169" s="15">
        <v>1741</v>
      </c>
      <c r="H169" s="15" t="s">
        <v>68</v>
      </c>
      <c r="I169" s="16">
        <v>29630</v>
      </c>
      <c r="J169" s="15">
        <v>3</v>
      </c>
      <c r="K169" s="17" t="s">
        <v>390</v>
      </c>
      <c r="M169" s="2" t="str">
        <f>"S9Q7"</f>
        <v/>
      </c>
    </row>
    <row r="170" spans="1:15" x14ac:dyDescent="0.35">
      <c r="A170" s="18">
        <v>63074</v>
      </c>
      <c r="B170" s="18" t="s">
        <v>590</v>
      </c>
      <c r="C170" s="14" t="s">
        <v>391</v>
      </c>
      <c r="D170" s="15">
        <v>9</v>
      </c>
      <c r="E170" s="15"/>
      <c r="F170" s="15" t="s">
        <v>61</v>
      </c>
      <c r="G170" s="15">
        <v>2963</v>
      </c>
      <c r="H170" s="15" t="s">
        <v>68</v>
      </c>
      <c r="I170" s="16">
        <v>41852</v>
      </c>
      <c r="J170" s="15">
        <v>5</v>
      </c>
      <c r="K170" s="17" t="s">
        <v>392</v>
      </c>
      <c r="M170" s="2" t="str">
        <f>"4L2J"</f>
        <v/>
      </c>
    </row>
    <row r="171" spans="1:15" x14ac:dyDescent="0.35">
      <c r="A171" s="18">
        <v>85296</v>
      </c>
      <c r="B171" s="18" t="s">
        <v>590</v>
      </c>
      <c r="C171" s="14" t="s">
        <v>393</v>
      </c>
      <c r="D171" s="15">
        <v>1</v>
      </c>
      <c r="E171" s="15"/>
      <c r="F171" s="15" t="s">
        <v>61</v>
      </c>
      <c r="G171" s="15">
        <v>4185</v>
      </c>
      <c r="H171" s="15" t="s">
        <v>68</v>
      </c>
      <c r="I171" s="16">
        <v>63074</v>
      </c>
      <c r="J171" s="15">
        <v>7</v>
      </c>
      <c r="K171" s="17" t="s">
        <v>394</v>
      </c>
      <c r="M171" s="2" t="str">
        <f>"GXEV"</f>
        <v/>
      </c>
    </row>
    <row r="172" spans="1:15" x14ac:dyDescent="0.35">
      <c r="A172" s="18">
        <v>17418</v>
      </c>
      <c r="B172" s="18" t="s">
        <v>590</v>
      </c>
      <c r="C172" s="14" t="s">
        <v>395</v>
      </c>
      <c r="D172" s="15">
        <v>3</v>
      </c>
      <c r="E172" s="15"/>
      <c r="F172" s="15" t="s">
        <v>61</v>
      </c>
      <c r="G172" s="15">
        <v>6307</v>
      </c>
      <c r="H172" s="15" t="s">
        <v>68</v>
      </c>
      <c r="I172" s="16">
        <v>85296</v>
      </c>
      <c r="J172" s="15">
        <v>9</v>
      </c>
      <c r="K172" s="17" t="s">
        <v>396</v>
      </c>
      <c r="M172" s="2" t="str">
        <f>"S9Q7"</f>
        <v/>
      </c>
    </row>
    <row r="173" spans="1:15" x14ac:dyDescent="0.35">
      <c r="A173" s="18">
        <v>29630</v>
      </c>
      <c r="B173" s="18" t="s">
        <v>590</v>
      </c>
      <c r="C173" s="14" t="s">
        <v>397</v>
      </c>
      <c r="D173" s="15">
        <v>5</v>
      </c>
      <c r="E173" s="15"/>
      <c r="F173" s="15" t="s">
        <v>61</v>
      </c>
      <c r="G173" s="15">
        <v>8529</v>
      </c>
      <c r="H173" s="15" t="s">
        <v>68</v>
      </c>
      <c r="I173" s="16">
        <v>17418</v>
      </c>
      <c r="J173" s="15">
        <v>1</v>
      </c>
      <c r="K173" s="17" t="s">
        <v>398</v>
      </c>
      <c r="M173" s="2" t="str">
        <f>"4L2J"</f>
        <v/>
      </c>
    </row>
    <row r="174" spans="1:15" x14ac:dyDescent="0.35">
      <c r="A174" s="18">
        <v>41852</v>
      </c>
      <c r="B174" s="18" t="s">
        <v>590</v>
      </c>
      <c r="C174" s="14" t="s">
        <v>399</v>
      </c>
      <c r="D174" s="15">
        <v>7</v>
      </c>
      <c r="E174" s="15"/>
      <c r="F174" s="15" t="s">
        <v>61</v>
      </c>
      <c r="G174" s="15">
        <v>1741</v>
      </c>
      <c r="H174" s="15" t="s">
        <v>68</v>
      </c>
      <c r="I174" s="16">
        <v>29630</v>
      </c>
      <c r="J174" s="15">
        <v>3</v>
      </c>
      <c r="K174" s="17" t="s">
        <v>400</v>
      </c>
      <c r="M174" s="2" t="str">
        <f>"GXEV"</f>
        <v/>
      </c>
    </row>
    <row r="175" spans="1:15" x14ac:dyDescent="0.35">
      <c r="A175" s="18">
        <v>63074</v>
      </c>
      <c r="B175" s="18" t="s">
        <v>590</v>
      </c>
      <c r="C175" s="14" t="s">
        <v>401</v>
      </c>
      <c r="D175" s="15">
        <v>9</v>
      </c>
      <c r="E175" s="15"/>
      <c r="F175" s="15" t="s">
        <v>61</v>
      </c>
      <c r="G175" s="15">
        <v>2963</v>
      </c>
      <c r="H175" s="15" t="s">
        <v>68</v>
      </c>
      <c r="I175" s="16">
        <v>41852</v>
      </c>
      <c r="J175" s="15">
        <v>5</v>
      </c>
      <c r="K175" s="17" t="s">
        <v>402</v>
      </c>
      <c r="M175" s="2" t="str">
        <f>"S9Q7"</f>
        <v/>
      </c>
    </row>
    <row r="176" spans="1:15" x14ac:dyDescent="0.35">
      <c r="A176" s="18">
        <v>85296</v>
      </c>
      <c r="B176" s="18" t="s">
        <v>590</v>
      </c>
      <c r="C176" s="14" t="s">
        <v>403</v>
      </c>
      <c r="D176" s="15">
        <v>1</v>
      </c>
      <c r="E176" s="15"/>
      <c r="F176" s="15" t="s">
        <v>61</v>
      </c>
      <c r="G176" s="15">
        <v>4185</v>
      </c>
      <c r="H176" s="15" t="s">
        <v>68</v>
      </c>
      <c r="I176" s="16">
        <v>63074</v>
      </c>
      <c r="J176" s="15">
        <v>7</v>
      </c>
      <c r="K176" s="17" t="s">
        <v>404</v>
      </c>
      <c r="M176" s="2" t="str">
        <f>"4L2J"</f>
        <v/>
      </c>
    </row>
    <row r="177" spans="1:13" x14ac:dyDescent="0.35">
      <c r="A177" s="18">
        <v>17418</v>
      </c>
      <c r="B177" s="18" t="s">
        <v>590</v>
      </c>
      <c r="C177" s="14" t="s">
        <v>405</v>
      </c>
      <c r="D177" s="15">
        <v>3</v>
      </c>
      <c r="E177" s="15"/>
      <c r="F177" s="15" t="s">
        <v>61</v>
      </c>
      <c r="G177" s="15">
        <v>6307</v>
      </c>
      <c r="H177" s="15" t="s">
        <v>68</v>
      </c>
      <c r="I177" s="16">
        <v>85296</v>
      </c>
      <c r="J177" s="15">
        <v>9</v>
      </c>
      <c r="K177" s="17" t="s">
        <v>406</v>
      </c>
      <c r="M177" s="2" t="str">
        <f>"GXEV"</f>
        <v/>
      </c>
    </row>
    <row r="178" spans="1:13" x14ac:dyDescent="0.35">
      <c r="A178" s="18">
        <v>29630</v>
      </c>
      <c r="B178" s="18" t="s">
        <v>590</v>
      </c>
      <c r="C178" s="14" t="s">
        <v>407</v>
      </c>
      <c r="D178" s="15">
        <v>5</v>
      </c>
      <c r="E178" s="15"/>
      <c r="F178" s="15" t="s">
        <v>61</v>
      </c>
      <c r="G178" s="15">
        <v>8529</v>
      </c>
      <c r="H178" s="15" t="s">
        <v>68</v>
      </c>
      <c r="I178" s="16">
        <v>17418</v>
      </c>
      <c r="J178" s="15">
        <v>1</v>
      </c>
      <c r="K178" s="17" t="s">
        <v>408</v>
      </c>
      <c r="M178" s="2" t="str">
        <f>"S9Q7"</f>
        <v/>
      </c>
    </row>
    <row r="179" spans="1:13" x14ac:dyDescent="0.35">
      <c r="A179" s="18">
        <v>41852</v>
      </c>
      <c r="B179" s="18" t="s">
        <v>590</v>
      </c>
      <c r="C179" s="14" t="s">
        <v>409</v>
      </c>
      <c r="D179" s="15">
        <v>7</v>
      </c>
      <c r="E179" s="15"/>
      <c r="F179" s="15" t="s">
        <v>61</v>
      </c>
      <c r="G179" s="15">
        <v>1741</v>
      </c>
      <c r="H179" s="15" t="s">
        <v>68</v>
      </c>
      <c r="I179" s="16">
        <v>29630</v>
      </c>
      <c r="J179" s="15">
        <v>3</v>
      </c>
      <c r="K179" s="17" t="s">
        <v>410</v>
      </c>
      <c r="M179" s="2" t="str">
        <f>"4L2J"</f>
        <v/>
      </c>
    </row>
    <row r="180" spans="1:13" x14ac:dyDescent="0.35">
      <c r="A180" s="18">
        <v>63074</v>
      </c>
      <c r="B180" s="18" t="s">
        <v>590</v>
      </c>
      <c r="C180" s="14" t="s">
        <v>411</v>
      </c>
      <c r="D180" s="15">
        <v>9</v>
      </c>
      <c r="E180" s="15"/>
      <c r="F180" s="15" t="s">
        <v>61</v>
      </c>
      <c r="G180" s="15">
        <v>2963</v>
      </c>
      <c r="H180" s="15" t="s">
        <v>68</v>
      </c>
      <c r="I180" s="16">
        <v>41852</v>
      </c>
      <c r="J180" s="15">
        <v>5</v>
      </c>
      <c r="K180" s="17" t="s">
        <v>412</v>
      </c>
      <c r="M180" s="2" t="str">
        <f>"GXEV"</f>
        <v/>
      </c>
    </row>
    <row r="181" spans="1:13" x14ac:dyDescent="0.35">
      <c r="A181" s="18">
        <v>85296</v>
      </c>
      <c r="B181" s="18" t="s">
        <v>590</v>
      </c>
      <c r="C181" s="14" t="s">
        <v>413</v>
      </c>
      <c r="D181" s="15">
        <v>1</v>
      </c>
      <c r="E181" s="15"/>
      <c r="F181" s="15" t="s">
        <v>61</v>
      </c>
      <c r="G181" s="15">
        <v>4185</v>
      </c>
      <c r="H181" s="15" t="s">
        <v>68</v>
      </c>
      <c r="I181" s="16">
        <v>63074</v>
      </c>
      <c r="J181" s="15">
        <v>7</v>
      </c>
      <c r="K181" s="17" t="s">
        <v>414</v>
      </c>
      <c r="M181" s="2" t="str">
        <f>"S9Q7"</f>
        <v/>
      </c>
    </row>
    <row r="182" spans="1:13" x14ac:dyDescent="0.35">
      <c r="A182" s="18">
        <v>17418</v>
      </c>
      <c r="B182" s="18" t="s">
        <v>590</v>
      </c>
      <c r="C182" s="14" t="s">
        <v>415</v>
      </c>
      <c r="D182" s="15">
        <v>3</v>
      </c>
      <c r="E182" s="15"/>
      <c r="F182" s="15" t="s">
        <v>61</v>
      </c>
      <c r="G182" s="15">
        <v>6307</v>
      </c>
      <c r="H182" s="15" t="s">
        <v>68</v>
      </c>
      <c r="I182" s="16">
        <v>85296</v>
      </c>
      <c r="J182" s="15">
        <v>9</v>
      </c>
      <c r="K182" s="17" t="s">
        <v>416</v>
      </c>
      <c r="M182" s="2" t="str">
        <f>"4L2J"</f>
        <v/>
      </c>
    </row>
    <row r="183" spans="1:13" x14ac:dyDescent="0.35">
      <c r="A183" s="18">
        <v>29630</v>
      </c>
      <c r="B183" s="18" t="s">
        <v>590</v>
      </c>
      <c r="C183" s="14" t="s">
        <v>417</v>
      </c>
      <c r="D183" s="15">
        <v>5</v>
      </c>
      <c r="E183" s="15"/>
      <c r="F183" s="15" t="s">
        <v>61</v>
      </c>
      <c r="G183" s="15">
        <v>8529</v>
      </c>
      <c r="H183" s="15" t="s">
        <v>68</v>
      </c>
      <c r="I183" s="16">
        <v>17418</v>
      </c>
      <c r="J183" s="15">
        <v>1</v>
      </c>
      <c r="K183" s="17" t="s">
        <v>418</v>
      </c>
      <c r="M183" s="2" t="str">
        <f>"GXEV"</f>
        <v/>
      </c>
    </row>
    <row r="184" spans="1:13" x14ac:dyDescent="0.35">
      <c r="A184" s="18">
        <v>41852</v>
      </c>
      <c r="B184" s="18" t="s">
        <v>590</v>
      </c>
      <c r="C184" s="14" t="s">
        <v>419</v>
      </c>
      <c r="D184" s="15">
        <v>7</v>
      </c>
      <c r="E184" s="15"/>
      <c r="F184" s="15" t="s">
        <v>61</v>
      </c>
      <c r="G184" s="15">
        <v>1741</v>
      </c>
      <c r="H184" s="15" t="s">
        <v>68</v>
      </c>
      <c r="I184" s="16">
        <v>29630</v>
      </c>
      <c r="J184" s="15">
        <v>3</v>
      </c>
      <c r="K184" s="17" t="s">
        <v>420</v>
      </c>
      <c r="M184" s="2" t="str">
        <f>"S9Q7"</f>
        <v/>
      </c>
    </row>
    <row r="185" spans="1:13" x14ac:dyDescent="0.35">
      <c r="A185" s="18">
        <v>63074</v>
      </c>
      <c r="B185" s="18" t="s">
        <v>590</v>
      </c>
      <c r="C185" s="14" t="s">
        <v>421</v>
      </c>
      <c r="D185" s="15">
        <v>9</v>
      </c>
      <c r="E185" s="15"/>
      <c r="F185" s="15" t="s">
        <v>61</v>
      </c>
      <c r="G185" s="15">
        <v>2963</v>
      </c>
      <c r="H185" s="15" t="s">
        <v>68</v>
      </c>
      <c r="I185" s="16">
        <v>41852</v>
      </c>
      <c r="J185" s="15">
        <v>5</v>
      </c>
      <c r="K185" s="17" t="s">
        <v>422</v>
      </c>
      <c r="M185" s="2" t="str">
        <f>"4L2J"</f>
        <v/>
      </c>
    </row>
    <row r="186" spans="1:13" x14ac:dyDescent="0.35">
      <c r="A186" s="18">
        <v>85296</v>
      </c>
      <c r="B186" s="18" t="s">
        <v>590</v>
      </c>
      <c r="C186" s="14" t="s">
        <v>423</v>
      </c>
      <c r="D186" s="15">
        <v>1</v>
      </c>
      <c r="E186" s="15"/>
      <c r="F186" s="15" t="s">
        <v>61</v>
      </c>
      <c r="G186" s="15">
        <v>4185</v>
      </c>
      <c r="H186" s="15" t="s">
        <v>68</v>
      </c>
      <c r="I186" s="16">
        <v>63074</v>
      </c>
      <c r="J186" s="15">
        <v>7</v>
      </c>
      <c r="K186" s="17" t="s">
        <v>424</v>
      </c>
      <c r="M186" s="2" t="str">
        <f>"GXEV"</f>
        <v/>
      </c>
    </row>
    <row r="187" spans="1:13" x14ac:dyDescent="0.35">
      <c r="A187" s="18">
        <v>17418</v>
      </c>
      <c r="B187" s="18" t="s">
        <v>590</v>
      </c>
      <c r="C187" s="14" t="s">
        <v>425</v>
      </c>
      <c r="D187" s="15">
        <v>3</v>
      </c>
      <c r="E187" s="15"/>
      <c r="F187" s="15" t="s">
        <v>61</v>
      </c>
      <c r="G187" s="15">
        <v>6307</v>
      </c>
      <c r="H187" s="15" t="s">
        <v>68</v>
      </c>
      <c r="I187" s="16">
        <v>85296</v>
      </c>
      <c r="J187" s="15">
        <v>9</v>
      </c>
      <c r="K187" s="17" t="s">
        <v>426</v>
      </c>
      <c r="M187" s="2" t="str">
        <f>"S9Q7"</f>
        <v/>
      </c>
    </row>
    <row r="188" spans="1:13" x14ac:dyDescent="0.35">
      <c r="A188" s="18">
        <v>29630</v>
      </c>
      <c r="B188" s="18" t="s">
        <v>590</v>
      </c>
      <c r="C188" s="14" t="s">
        <v>427</v>
      </c>
      <c r="D188" s="15">
        <v>5</v>
      </c>
      <c r="E188" s="15"/>
      <c r="F188" s="15" t="s">
        <v>61</v>
      </c>
      <c r="G188" s="15">
        <v>8529</v>
      </c>
      <c r="H188" s="15" t="s">
        <v>68</v>
      </c>
      <c r="I188" s="16">
        <v>17418</v>
      </c>
      <c r="J188" s="15">
        <v>1</v>
      </c>
      <c r="K188" s="17" t="s">
        <v>428</v>
      </c>
      <c r="M188" s="2" t="str">
        <f>"4L2J"</f>
        <v/>
      </c>
    </row>
    <row r="189" spans="1:13" x14ac:dyDescent="0.35">
      <c r="A189" s="18">
        <v>41852</v>
      </c>
      <c r="B189" s="18" t="s">
        <v>590</v>
      </c>
      <c r="C189" s="14" t="s">
        <v>429</v>
      </c>
      <c r="D189" s="15">
        <v>7</v>
      </c>
      <c r="E189" s="15"/>
      <c r="F189" s="15" t="s">
        <v>61</v>
      </c>
      <c r="G189" s="15">
        <v>1741</v>
      </c>
      <c r="H189" s="15" t="s">
        <v>68</v>
      </c>
      <c r="I189" s="16">
        <v>29630</v>
      </c>
      <c r="J189" s="15">
        <v>3</v>
      </c>
      <c r="K189" s="17" t="s">
        <v>430</v>
      </c>
      <c r="M189" s="2" t="str">
        <f>"GXEV"</f>
        <v/>
      </c>
    </row>
    <row r="190" spans="1:13" x14ac:dyDescent="0.35">
      <c r="A190" s="18">
        <v>63074</v>
      </c>
      <c r="B190" s="18" t="s">
        <v>590</v>
      </c>
      <c r="C190" s="14" t="s">
        <v>431</v>
      </c>
      <c r="D190" s="15">
        <v>9</v>
      </c>
      <c r="E190" s="15"/>
      <c r="F190" s="15" t="s">
        <v>61</v>
      </c>
      <c r="G190" s="15">
        <v>2963</v>
      </c>
      <c r="H190" s="15" t="s">
        <v>68</v>
      </c>
      <c r="I190" s="16">
        <v>41852</v>
      </c>
      <c r="J190" s="15">
        <v>5</v>
      </c>
      <c r="K190" s="17" t="s">
        <v>432</v>
      </c>
      <c r="M190" s="2" t="str">
        <f>"S9Q7"</f>
        <v/>
      </c>
    </row>
    <row r="191" spans="1:13" x14ac:dyDescent="0.35">
      <c r="A191" s="18">
        <v>85296</v>
      </c>
      <c r="B191" s="18" t="s">
        <v>590</v>
      </c>
      <c r="C191" s="14" t="s">
        <v>433</v>
      </c>
      <c r="D191" s="15">
        <v>1</v>
      </c>
      <c r="E191" s="15"/>
      <c r="F191" s="15" t="s">
        <v>61</v>
      </c>
      <c r="G191" s="15">
        <v>4185</v>
      </c>
      <c r="H191" s="15" t="s">
        <v>68</v>
      </c>
      <c r="I191" s="16">
        <v>63074</v>
      </c>
      <c r="J191" s="15">
        <v>7</v>
      </c>
      <c r="K191" s="17" t="s">
        <v>434</v>
      </c>
      <c r="M191" s="2" t="str">
        <f>"4L2J"</f>
        <v/>
      </c>
    </row>
    <row r="192" spans="1:13" x14ac:dyDescent="0.35">
      <c r="A192" s="18">
        <v>17418</v>
      </c>
      <c r="B192" s="18" t="s">
        <v>590</v>
      </c>
      <c r="C192" s="14" t="s">
        <v>435</v>
      </c>
      <c r="D192" s="15">
        <v>3</v>
      </c>
      <c r="E192" s="15"/>
      <c r="F192" s="15" t="s">
        <v>61</v>
      </c>
      <c r="G192" s="15">
        <v>6307</v>
      </c>
      <c r="H192" s="15" t="s">
        <v>68</v>
      </c>
      <c r="I192" s="16">
        <v>85296</v>
      </c>
      <c r="J192" s="15">
        <v>9</v>
      </c>
      <c r="K192" s="17" t="s">
        <v>436</v>
      </c>
      <c r="M192" s="2" t="str">
        <f>"GXEV"</f>
        <v/>
      </c>
    </row>
    <row r="193" spans="1:13" x14ac:dyDescent="0.35">
      <c r="A193" s="18">
        <v>29630</v>
      </c>
      <c r="B193" s="18" t="s">
        <v>590</v>
      </c>
      <c r="C193" s="14" t="s">
        <v>437</v>
      </c>
      <c r="D193" s="15">
        <v>5</v>
      </c>
      <c r="E193" s="15"/>
      <c r="F193" s="15" t="s">
        <v>61</v>
      </c>
      <c r="G193" s="15">
        <v>8529</v>
      </c>
      <c r="H193" s="15" t="s">
        <v>68</v>
      </c>
      <c r="I193" s="16">
        <v>17418</v>
      </c>
      <c r="J193" s="15">
        <v>1</v>
      </c>
      <c r="K193" s="17" t="s">
        <v>438</v>
      </c>
      <c r="M193" s="2" t="str">
        <f>"S9Q7"</f>
        <v/>
      </c>
    </row>
    <row r="194" spans="1:13" x14ac:dyDescent="0.35">
      <c r="A194" s="18">
        <v>41852</v>
      </c>
      <c r="B194" s="18" t="s">
        <v>590</v>
      </c>
      <c r="C194" s="14" t="s">
        <v>439</v>
      </c>
      <c r="D194" s="15">
        <v>7</v>
      </c>
      <c r="E194" s="15"/>
      <c r="F194" s="15" t="s">
        <v>61</v>
      </c>
      <c r="G194" s="15">
        <v>1741</v>
      </c>
      <c r="H194" s="15" t="s">
        <v>68</v>
      </c>
      <c r="I194" s="16">
        <v>29630</v>
      </c>
      <c r="J194" s="15">
        <v>3</v>
      </c>
      <c r="K194" s="17" t="s">
        <v>440</v>
      </c>
      <c r="M194" s="2" t="str">
        <f>"4L2J"</f>
        <v/>
      </c>
    </row>
    <row r="195" spans="1:13" x14ac:dyDescent="0.35">
      <c r="A195" s="18">
        <v>63074</v>
      </c>
      <c r="B195" s="18" t="s">
        <v>590</v>
      </c>
      <c r="C195" s="14" t="s">
        <v>441</v>
      </c>
      <c r="D195" s="15">
        <v>9</v>
      </c>
      <c r="E195" s="15"/>
      <c r="F195" s="15" t="s">
        <v>61</v>
      </c>
      <c r="G195" s="15">
        <v>2963</v>
      </c>
      <c r="H195" s="15" t="s">
        <v>68</v>
      </c>
      <c r="I195" s="16">
        <v>41852</v>
      </c>
      <c r="J195" s="15">
        <v>5</v>
      </c>
      <c r="K195" s="17" t="s">
        <v>442</v>
      </c>
      <c r="M195" s="2" t="str">
        <f>"GXEV"</f>
        <v/>
      </c>
    </row>
    <row r="196" spans="1:13" x14ac:dyDescent="0.35">
      <c r="A196" s="18">
        <v>85296</v>
      </c>
      <c r="B196" s="18" t="s">
        <v>590</v>
      </c>
      <c r="C196" s="14" t="s">
        <v>443</v>
      </c>
      <c r="D196" s="15">
        <v>1</v>
      </c>
      <c r="E196" s="15"/>
      <c r="F196" s="15" t="s">
        <v>61</v>
      </c>
      <c r="G196" s="15">
        <v>4185</v>
      </c>
      <c r="H196" s="15" t="s">
        <v>68</v>
      </c>
      <c r="I196" s="16">
        <v>63074</v>
      </c>
      <c r="J196" s="15">
        <v>7</v>
      </c>
      <c r="K196" s="17" t="s">
        <v>444</v>
      </c>
      <c r="M196" s="2" t="str">
        <f>"S9Q7"</f>
        <v/>
      </c>
    </row>
    <row r="197" spans="1:13" x14ac:dyDescent="0.35">
      <c r="A197" s="18">
        <v>17418</v>
      </c>
      <c r="B197" s="18" t="s">
        <v>590</v>
      </c>
      <c r="C197" s="14" t="s">
        <v>445</v>
      </c>
      <c r="D197" s="15">
        <v>3</v>
      </c>
      <c r="E197" s="15"/>
      <c r="F197" s="15" t="s">
        <v>61</v>
      </c>
      <c r="G197" s="15">
        <v>6307</v>
      </c>
      <c r="H197" s="15" t="s">
        <v>68</v>
      </c>
      <c r="I197" s="16">
        <v>85296</v>
      </c>
      <c r="J197" s="15">
        <v>9</v>
      </c>
      <c r="K197" s="17" t="s">
        <v>446</v>
      </c>
      <c r="M197" s="2" t="str">
        <f>"4L2J"</f>
        <v/>
      </c>
    </row>
    <row r="198" spans="1:13" x14ac:dyDescent="0.35">
      <c r="A198" s="18">
        <v>29630</v>
      </c>
      <c r="B198" s="18" t="s">
        <v>590</v>
      </c>
      <c r="C198" s="14" t="s">
        <v>447</v>
      </c>
      <c r="D198" s="15">
        <v>5</v>
      </c>
      <c r="E198" s="15"/>
      <c r="F198" s="15" t="s">
        <v>61</v>
      </c>
      <c r="G198" s="15">
        <v>8529</v>
      </c>
      <c r="H198" s="15" t="s">
        <v>68</v>
      </c>
      <c r="I198" s="16">
        <v>17418</v>
      </c>
      <c r="J198" s="15">
        <v>1</v>
      </c>
      <c r="K198" s="17" t="s">
        <v>448</v>
      </c>
      <c r="M198" s="2" t="str">
        <f>"GXEV"</f>
        <v/>
      </c>
    </row>
    <row r="199" spans="1:13" x14ac:dyDescent="0.35">
      <c r="A199" s="18">
        <v>41852</v>
      </c>
      <c r="B199" s="18" t="s">
        <v>590</v>
      </c>
      <c r="C199" s="14" t="s">
        <v>449</v>
      </c>
      <c r="D199" s="15">
        <v>7</v>
      </c>
      <c r="E199" s="15"/>
      <c r="F199" s="15" t="s">
        <v>61</v>
      </c>
      <c r="G199" s="15">
        <v>1741</v>
      </c>
      <c r="H199" s="15" t="s">
        <v>68</v>
      </c>
      <c r="I199" s="16">
        <v>29630</v>
      </c>
      <c r="J199" s="15">
        <v>3</v>
      </c>
      <c r="K199" s="17" t="s">
        <v>450</v>
      </c>
      <c r="M199" s="2" t="str">
        <f>"S9Q7"</f>
        <v/>
      </c>
    </row>
    <row r="200" spans="1:13" x14ac:dyDescent="0.35">
      <c r="A200" s="18">
        <v>63074</v>
      </c>
      <c r="B200" s="18" t="s">
        <v>590</v>
      </c>
      <c r="C200" s="14" t="s">
        <v>451</v>
      </c>
      <c r="D200" s="15">
        <v>9</v>
      </c>
      <c r="E200" s="15"/>
      <c r="F200" s="15" t="s">
        <v>61</v>
      </c>
      <c r="G200" s="15">
        <v>2963</v>
      </c>
      <c r="H200" s="15" t="s">
        <v>68</v>
      </c>
      <c r="I200" s="16">
        <v>41852</v>
      </c>
      <c r="J200" s="15">
        <v>5</v>
      </c>
      <c r="K200" s="17" t="s">
        <v>452</v>
      </c>
      <c r="M200" s="2" t="str">
        <f>"4L2J"</f>
        <v/>
      </c>
    </row>
    <row r="201" spans="1:13" x14ac:dyDescent="0.35">
      <c r="A201" s="18">
        <v>85296</v>
      </c>
      <c r="B201" s="18" t="s">
        <v>590</v>
      </c>
      <c r="C201" s="14" t="s">
        <v>453</v>
      </c>
      <c r="D201" s="15">
        <v>1</v>
      </c>
      <c r="E201" s="15"/>
      <c r="F201" s="15" t="s">
        <v>61</v>
      </c>
      <c r="G201" s="15">
        <v>4185</v>
      </c>
      <c r="H201" s="15" t="s">
        <v>68</v>
      </c>
      <c r="I201" s="16">
        <v>63074</v>
      </c>
      <c r="J201" s="15">
        <v>7</v>
      </c>
      <c r="K201" s="17" t="s">
        <v>454</v>
      </c>
      <c r="M201" s="2" t="str">
        <f>"GXEV"</f>
        <v/>
      </c>
    </row>
    <row r="202" spans="1:13" x14ac:dyDescent="0.35">
      <c r="A202" s="18">
        <v>17418</v>
      </c>
      <c r="B202" s="18" t="s">
        <v>590</v>
      </c>
      <c r="C202" s="14" t="s">
        <v>455</v>
      </c>
      <c r="D202" s="15">
        <v>3</v>
      </c>
      <c r="E202" s="15"/>
      <c r="F202" s="15" t="s">
        <v>61</v>
      </c>
      <c r="G202" s="15">
        <v>6307</v>
      </c>
      <c r="H202" s="15" t="s">
        <v>68</v>
      </c>
      <c r="I202" s="16">
        <v>85296</v>
      </c>
      <c r="J202" s="15">
        <v>9</v>
      </c>
      <c r="K202" s="17" t="s">
        <v>456</v>
      </c>
      <c r="M202" s="2" t="str">
        <f>"S9Q7"</f>
        <v/>
      </c>
    </row>
    <row r="203" spans="1:13" x14ac:dyDescent="0.35">
      <c r="A203" s="18">
        <v>29630</v>
      </c>
      <c r="B203" s="18" t="s">
        <v>590</v>
      </c>
      <c r="C203" s="14" t="s">
        <v>457</v>
      </c>
      <c r="D203" s="15">
        <v>5</v>
      </c>
      <c r="E203" s="15"/>
      <c r="F203" s="15" t="s">
        <v>61</v>
      </c>
      <c r="G203" s="15">
        <v>8529</v>
      </c>
      <c r="H203" s="15" t="s">
        <v>68</v>
      </c>
      <c r="I203" s="16">
        <v>17418</v>
      </c>
      <c r="J203" s="15">
        <v>1</v>
      </c>
      <c r="K203" s="17" t="s">
        <v>458</v>
      </c>
      <c r="M203" s="2" t="str">
        <f>"4L2J"</f>
        <v/>
      </c>
    </row>
    <row r="204" spans="1:13" x14ac:dyDescent="0.35">
      <c r="A204" s="18">
        <v>41852</v>
      </c>
      <c r="B204" s="18" t="s">
        <v>590</v>
      </c>
      <c r="C204" s="14" t="s">
        <v>459</v>
      </c>
      <c r="D204" s="15">
        <v>7</v>
      </c>
      <c r="E204" s="15"/>
      <c r="F204" s="15" t="s">
        <v>61</v>
      </c>
      <c r="G204" s="15">
        <v>1741</v>
      </c>
      <c r="H204" s="15" t="s">
        <v>68</v>
      </c>
      <c r="I204" s="16">
        <v>29630</v>
      </c>
      <c r="J204" s="15">
        <v>3</v>
      </c>
      <c r="K204" s="17" t="s">
        <v>460</v>
      </c>
      <c r="M204" s="2" t="str">
        <f>"GXEV"</f>
        <v/>
      </c>
    </row>
    <row r="205" spans="1:13" x14ac:dyDescent="0.35">
      <c r="A205" s="18">
        <v>63074</v>
      </c>
      <c r="B205" s="18" t="s">
        <v>590</v>
      </c>
      <c r="C205" s="14" t="s">
        <v>461</v>
      </c>
      <c r="D205" s="15">
        <v>9</v>
      </c>
      <c r="E205" s="15"/>
      <c r="F205" s="15" t="s">
        <v>61</v>
      </c>
      <c r="G205" s="15">
        <v>2963</v>
      </c>
      <c r="H205" s="15" t="s">
        <v>68</v>
      </c>
      <c r="I205" s="16">
        <v>41852</v>
      </c>
      <c r="J205" s="15">
        <v>5</v>
      </c>
      <c r="K205" s="17" t="s">
        <v>462</v>
      </c>
      <c r="M205" s="2" t="str">
        <f>"S9Q7"</f>
        <v/>
      </c>
    </row>
    <row r="206" spans="1:13" x14ac:dyDescent="0.35">
      <c r="A206" s="18">
        <v>85296</v>
      </c>
      <c r="B206" s="18" t="s">
        <v>590</v>
      </c>
      <c r="C206" s="14" t="s">
        <v>463</v>
      </c>
      <c r="D206" s="15">
        <v>1</v>
      </c>
      <c r="E206" s="15"/>
      <c r="F206" s="15" t="s">
        <v>61</v>
      </c>
      <c r="G206" s="15">
        <v>4185</v>
      </c>
      <c r="H206" s="15" t="s">
        <v>68</v>
      </c>
      <c r="I206" s="16">
        <v>63074</v>
      </c>
      <c r="J206" s="15">
        <v>7</v>
      </c>
      <c r="K206" s="17" t="s">
        <v>464</v>
      </c>
      <c r="M206" s="2" t="str">
        <f>"4L2J"</f>
        <v/>
      </c>
    </row>
    <row r="207" spans="1:13" x14ac:dyDescent="0.35">
      <c r="A207" s="18">
        <v>17418</v>
      </c>
      <c r="B207" s="18" t="s">
        <v>590</v>
      </c>
      <c r="C207" s="14" t="s">
        <v>465</v>
      </c>
      <c r="D207" s="15">
        <v>3</v>
      </c>
      <c r="E207" s="15"/>
      <c r="F207" s="15" t="s">
        <v>61</v>
      </c>
      <c r="G207" s="15">
        <v>6307</v>
      </c>
      <c r="H207" s="15" t="s">
        <v>68</v>
      </c>
      <c r="I207" s="16">
        <v>85296</v>
      </c>
      <c r="J207" s="15">
        <v>9</v>
      </c>
      <c r="K207" s="17" t="s">
        <v>466</v>
      </c>
      <c r="M207" s="2" t="str">
        <f>"GXEV"</f>
        <v/>
      </c>
    </row>
    <row r="208" spans="1:13" x14ac:dyDescent="0.35">
      <c r="A208" s="18">
        <v>29630</v>
      </c>
      <c r="B208" s="18" t="s">
        <v>590</v>
      </c>
      <c r="C208" s="14" t="s">
        <v>467</v>
      </c>
      <c r="D208" s="15">
        <v>5</v>
      </c>
      <c r="E208" s="15"/>
      <c r="F208" s="15" t="s">
        <v>61</v>
      </c>
      <c r="G208" s="15">
        <v>8529</v>
      </c>
      <c r="H208" s="15" t="s">
        <v>68</v>
      </c>
      <c r="I208" s="16">
        <v>17418</v>
      </c>
      <c r="J208" s="15">
        <v>1</v>
      </c>
      <c r="K208" s="17" t="s">
        <v>468</v>
      </c>
      <c r="M208" s="2" t="str">
        <f>"S9Q7"</f>
        <v/>
      </c>
    </row>
    <row r="209" spans="1:15" x14ac:dyDescent="0.35">
      <c r="A209" s="18">
        <v>41852</v>
      </c>
      <c r="B209" s="18" t="s">
        <v>590</v>
      </c>
      <c r="C209" s="14" t="s">
        <v>469</v>
      </c>
      <c r="D209" s="15">
        <v>7</v>
      </c>
      <c r="E209" s="15"/>
      <c r="F209" s="15" t="s">
        <v>61</v>
      </c>
      <c r="G209" s="15">
        <v>1741</v>
      </c>
      <c r="H209" s="15" t="s">
        <v>68</v>
      </c>
      <c r="I209" s="16">
        <v>29630</v>
      </c>
      <c r="J209" s="15">
        <v>3</v>
      </c>
      <c r="K209" s="17" t="s">
        <v>470</v>
      </c>
      <c r="M209" s="2" t="str">
        <f>"4L2J"</f>
        <v/>
      </c>
    </row>
    <row r="210" spans="1:15" x14ac:dyDescent="0.35">
      <c r="A210" s="18">
        <v>63074</v>
      </c>
      <c r="B210" s="18" t="s">
        <v>590</v>
      </c>
      <c r="C210" s="14" t="s">
        <v>471</v>
      </c>
      <c r="D210" s="15">
        <v>9</v>
      </c>
      <c r="E210" s="15"/>
      <c r="F210" s="15" t="s">
        <v>61</v>
      </c>
      <c r="G210" s="15">
        <v>2963</v>
      </c>
      <c r="H210" s="15" t="s">
        <v>68</v>
      </c>
      <c r="I210" s="16">
        <v>41852</v>
      </c>
      <c r="J210" s="15">
        <v>5</v>
      </c>
      <c r="K210" s="17" t="s">
        <v>472</v>
      </c>
      <c r="M210" s="2" t="str">
        <f>"GXEV"</f>
        <v/>
      </c>
    </row>
    <row r="211" spans="1:15" x14ac:dyDescent="0.35">
      <c r="A211" s="18">
        <v>85296</v>
      </c>
      <c r="B211" s="18" t="s">
        <v>590</v>
      </c>
      <c r="C211" s="14" t="s">
        <v>473</v>
      </c>
      <c r="D211" s="15">
        <v>1</v>
      </c>
      <c r="E211" s="15"/>
      <c r="F211" s="15" t="s">
        <v>61</v>
      </c>
      <c r="G211" s="15">
        <v>4185</v>
      </c>
      <c r="H211" s="15" t="s">
        <v>68</v>
      </c>
      <c r="I211" s="16">
        <v>63074</v>
      </c>
      <c r="J211" s="15">
        <v>7</v>
      </c>
      <c r="K211" s="17" t="s">
        <v>474</v>
      </c>
      <c r="M211" s="2" t="str">
        <f>"S9Q7"</f>
        <v/>
      </c>
    </row>
    <row r="212" spans="1:15" x14ac:dyDescent="0.35">
      <c r="A212" s="18">
        <v>17418</v>
      </c>
      <c r="B212" s="18" t="s">
        <v>590</v>
      </c>
      <c r="C212" s="14" t="s">
        <v>475</v>
      </c>
      <c r="D212" s="15">
        <v>3</v>
      </c>
      <c r="E212" s="15"/>
      <c r="F212" s="15" t="s">
        <v>61</v>
      </c>
      <c r="G212" s="15">
        <v>6307</v>
      </c>
      <c r="H212" s="15" t="s">
        <v>68</v>
      </c>
      <c r="I212" s="16">
        <v>85296</v>
      </c>
      <c r="J212" s="15">
        <v>9</v>
      </c>
      <c r="K212" s="17" t="s">
        <v>476</v>
      </c>
      <c r="M212" s="2" t="str">
        <f>"4L2J"</f>
        <v/>
      </c>
    </row>
    <row r="213" spans="1:15" x14ac:dyDescent="0.35">
      <c r="A213" s="18">
        <v>29630</v>
      </c>
      <c r="B213" s="18" t="s">
        <v>590</v>
      </c>
      <c r="C213" s="14" t="s">
        <v>477</v>
      </c>
      <c r="D213" s="15">
        <v>5</v>
      </c>
      <c r="E213" s="15"/>
      <c r="F213" s="15" t="s">
        <v>61</v>
      </c>
      <c r="G213" s="15">
        <v>8529</v>
      </c>
      <c r="H213" s="15" t="s">
        <v>68</v>
      </c>
      <c r="I213" s="16">
        <v>17418</v>
      </c>
      <c r="J213" s="15">
        <v>1</v>
      </c>
      <c r="K213" s="17" t="s">
        <v>478</v>
      </c>
      <c r="M213" s="2" t="str">
        <f>"GXEV"</f>
        <v/>
      </c>
    </row>
    <row r="214" spans="1:15" x14ac:dyDescent="0.35">
      <c r="A214" s="18">
        <v>41852</v>
      </c>
      <c r="B214" s="18" t="s">
        <v>590</v>
      </c>
      <c r="C214" s="14" t="s">
        <v>479</v>
      </c>
      <c r="D214" s="15">
        <v>7</v>
      </c>
      <c r="E214" s="15"/>
      <c r="F214" s="15" t="s">
        <v>61</v>
      </c>
      <c r="G214" s="15">
        <v>1741</v>
      </c>
      <c r="H214" s="15" t="s">
        <v>68</v>
      </c>
      <c r="I214" s="16">
        <v>29630</v>
      </c>
      <c r="J214" s="15">
        <v>3</v>
      </c>
      <c r="K214" s="17" t="s">
        <v>480</v>
      </c>
      <c r="M214" s="2" t="str">
        <f>"S9Q7"</f>
        <v/>
      </c>
    </row>
    <row r="215" spans="1:15" x14ac:dyDescent="0.35">
      <c r="A215" s="18">
        <v>63074</v>
      </c>
      <c r="B215" s="18" t="s">
        <v>590</v>
      </c>
      <c r="C215" s="14" t="s">
        <v>481</v>
      </c>
      <c r="D215" s="15">
        <v>9</v>
      </c>
      <c r="E215" s="15"/>
      <c r="F215" s="15" t="s">
        <v>61</v>
      </c>
      <c r="G215" s="15">
        <v>2963</v>
      </c>
      <c r="H215" s="15" t="s">
        <v>68</v>
      </c>
      <c r="I215" s="16">
        <v>41852</v>
      </c>
      <c r="J215" s="15">
        <v>5</v>
      </c>
      <c r="K215" s="17" t="s">
        <v>482</v>
      </c>
      <c r="M215" s="2" t="str">
        <f>"4L2J"</f>
        <v/>
      </c>
    </row>
    <row r="216" spans="1:15" x14ac:dyDescent="0.35">
      <c r="A216" s="18">
        <v>85296</v>
      </c>
      <c r="B216" s="18" t="s">
        <v>590</v>
      </c>
      <c r="C216" s="14" t="s">
        <v>483</v>
      </c>
      <c r="D216" s="15">
        <v>1</v>
      </c>
      <c r="E216" s="15"/>
      <c r="F216" s="15" t="s">
        <v>61</v>
      </c>
      <c r="G216" s="15">
        <v>4185</v>
      </c>
      <c r="H216" s="15" t="s">
        <v>68</v>
      </c>
      <c r="I216" s="16">
        <v>63074</v>
      </c>
      <c r="J216" s="15">
        <v>7</v>
      </c>
      <c r="K216" s="17" t="s">
        <v>484</v>
      </c>
      <c r="M216" s="2" t="str">
        <f>"GXEV"</f>
        <v/>
      </c>
    </row>
    <row r="217" spans="1:15" x14ac:dyDescent="0.35">
      <c r="A217" s="18">
        <v>17418</v>
      </c>
      <c r="B217" s="18" t="s">
        <v>590</v>
      </c>
      <c r="C217" s="14" t="s">
        <v>485</v>
      </c>
      <c r="D217" s="15">
        <v>3</v>
      </c>
      <c r="E217" s="15"/>
      <c r="F217" s="15" t="s">
        <v>61</v>
      </c>
      <c r="G217" s="15">
        <v>6307</v>
      </c>
      <c r="H217" s="15" t="s">
        <v>68</v>
      </c>
      <c r="I217" s="16">
        <v>85296</v>
      </c>
      <c r="J217" s="15">
        <v>9</v>
      </c>
      <c r="K217" s="17" t="s">
        <v>486</v>
      </c>
      <c r="M217" s="2" t="str">
        <f>"S9Q7"</f>
        <v/>
      </c>
    </row>
    <row r="218" spans="1:15" x14ac:dyDescent="0.35">
      <c r="A218" s="18">
        <v>29630</v>
      </c>
      <c r="B218" s="18" t="s">
        <v>590</v>
      </c>
      <c r="C218" s="14" t="s">
        <v>487</v>
      </c>
      <c r="D218" s="15">
        <v>5</v>
      </c>
      <c r="E218" s="15"/>
      <c r="F218" s="15" t="s">
        <v>61</v>
      </c>
      <c r="G218" s="15">
        <v>8529</v>
      </c>
      <c r="H218" s="15" t="s">
        <v>68</v>
      </c>
      <c r="I218" s="16">
        <v>17418</v>
      </c>
      <c r="J218" s="15">
        <v>1</v>
      </c>
      <c r="K218" s="17" t="s">
        <v>488</v>
      </c>
      <c r="M218" s="2" t="str">
        <f>"4L2J"</f>
        <v/>
      </c>
    </row>
    <row r="219" spans="1:15" x14ac:dyDescent="0.35">
      <c r="A219" s="18">
        <v>41852</v>
      </c>
      <c r="B219" s="18" t="s">
        <v>590</v>
      </c>
      <c r="C219" s="14" t="s">
        <v>489</v>
      </c>
      <c r="D219" s="15">
        <v>7</v>
      </c>
      <c r="E219" s="15"/>
      <c r="F219" s="15" t="s">
        <v>61</v>
      </c>
      <c r="G219" s="15">
        <v>1741</v>
      </c>
      <c r="H219" s="15" t="s">
        <v>68</v>
      </c>
      <c r="I219" s="16">
        <v>29630</v>
      </c>
      <c r="J219" s="15">
        <v>3</v>
      </c>
      <c r="K219" s="17" t="s">
        <v>490</v>
      </c>
      <c r="M219" s="2" t="str">
        <f>"GXEV"</f>
        <v/>
      </c>
    </row>
    <row r="220" spans="1:15" x14ac:dyDescent="0.35">
      <c r="A220" s="18">
        <v>63074</v>
      </c>
      <c r="B220" s="18" t="s">
        <v>590</v>
      </c>
      <c r="C220" s="14" t="s">
        <v>491</v>
      </c>
      <c r="D220" s="15">
        <v>9</v>
      </c>
      <c r="E220" s="15"/>
      <c r="F220" s="15" t="s">
        <v>61</v>
      </c>
      <c r="G220" s="15">
        <v>2963</v>
      </c>
      <c r="H220" s="15" t="s">
        <v>68</v>
      </c>
      <c r="I220" s="16">
        <v>41852</v>
      </c>
      <c r="J220" s="15">
        <v>5</v>
      </c>
      <c r="K220" s="17" t="s">
        <v>492</v>
      </c>
      <c r="M220" s="2" t="str">
        <f>"S9Q7"</f>
        <v/>
      </c>
    </row>
    <row r="221" spans="1:15" x14ac:dyDescent="0.35">
      <c r="A221" s="18">
        <v>85296</v>
      </c>
      <c r="B221" s="18" t="s">
        <v>590</v>
      </c>
      <c r="C221" s="14" t="s">
        <v>493</v>
      </c>
      <c r="D221" s="15">
        <v>1</v>
      </c>
      <c r="E221" s="15"/>
      <c r="F221" s="15" t="s">
        <v>61</v>
      </c>
      <c r="G221" s="15">
        <v>4185</v>
      </c>
      <c r="H221" s="15" t="s">
        <v>68</v>
      </c>
      <c r="I221" s="16">
        <v>63074</v>
      </c>
      <c r="J221" s="15">
        <v>7</v>
      </c>
      <c r="K221" s="17" t="s">
        <v>494</v>
      </c>
      <c r="M221" s="2" t="str">
        <f>"4L2J"</f>
        <v/>
      </c>
    </row>
    <row r="222" spans="1:15" x14ac:dyDescent="0.35">
      <c r="A222" s="18">
        <v>17418</v>
      </c>
      <c r="B222" s="18" t="s">
        <v>590</v>
      </c>
      <c r="C222" s="14" t="s">
        <v>495</v>
      </c>
      <c r="D222" s="15">
        <v>3</v>
      </c>
      <c r="E222" s="15"/>
      <c r="F222" s="15" t="s">
        <v>61</v>
      </c>
      <c r="G222" s="15">
        <v>6307</v>
      </c>
      <c r="H222" s="15" t="s">
        <v>142</v>
      </c>
      <c r="I222" s="16">
        <v>85296</v>
      </c>
      <c r="J222" s="15">
        <v>9</v>
      </c>
      <c r="K222" s="17" t="s">
        <v>496</v>
      </c>
      <c r="L222" s="1" t="str">
        <f>"GXEVCTAR8P6N4L2J0HYF"</f>
        <v>GXEVCTAR8P6N4L2J0HYF</v>
      </c>
      <c r="M222" s="2" t="str">
        <f>"TAR8P6N4L2J0HYFWD"</f>
        <v>TAR8P6N4L2J0HYFWD</v>
      </c>
      <c r="N222" s="1" t="s">
        <v>64</v>
      </c>
      <c r="O222" s="18">
        <v>4185</v>
      </c>
    </row>
    <row r="223" spans="1:15" x14ac:dyDescent="0.35">
      <c r="A223" s="18">
        <v>52963</v>
      </c>
      <c r="B223" s="18" t="s">
        <v>590</v>
      </c>
      <c r="C223" s="14" t="s">
        <v>497</v>
      </c>
      <c r="D223" s="15">
        <v>8</v>
      </c>
      <c r="E223" s="15"/>
      <c r="F223" s="15" t="s">
        <v>61</v>
      </c>
      <c r="G223" s="15">
        <v>1852</v>
      </c>
      <c r="H223" s="15" t="s">
        <v>142</v>
      </c>
      <c r="I223" s="16">
        <v>30741</v>
      </c>
      <c r="J223" s="15">
        <v>4</v>
      </c>
      <c r="K223" s="17" t="s">
        <v>498</v>
      </c>
      <c r="L223" s="1" t="str">
        <f>"VCTAR8P6N4L2J0HYFWDU"</f>
        <v>VCTAR8P6N4L2J0HYFWDU</v>
      </c>
      <c r="M223" s="2" t="str">
        <f>"8P6N4L2J0HYFWDUBS"</f>
        <v>8P6N4L2J0HYFWDUBS</v>
      </c>
      <c r="N223" s="1" t="s">
        <v>64</v>
      </c>
      <c r="O223" s="18">
        <v>9630</v>
      </c>
    </row>
    <row r="224" spans="1:15" x14ac:dyDescent="0.35">
      <c r="A224" s="18">
        <v>17418</v>
      </c>
      <c r="B224" s="18" t="s">
        <v>590</v>
      </c>
      <c r="C224" s="14" t="s">
        <v>499</v>
      </c>
      <c r="D224" s="15">
        <v>3</v>
      </c>
      <c r="E224" s="15"/>
      <c r="F224" s="15" t="s">
        <v>61</v>
      </c>
      <c r="G224" s="15">
        <v>6307</v>
      </c>
      <c r="H224" s="15" t="s">
        <v>68</v>
      </c>
      <c r="I224" s="16">
        <v>85296</v>
      </c>
      <c r="J224" s="15">
        <v>9</v>
      </c>
      <c r="K224" s="17" t="s">
        <v>500</v>
      </c>
      <c r="M224" s="2" t="str">
        <f>"AR8P"</f>
        <v/>
      </c>
    </row>
    <row r="225" spans="1:15" x14ac:dyDescent="0.35">
      <c r="A225" s="18">
        <v>29630</v>
      </c>
      <c r="B225" s="18" t="s">
        <v>590</v>
      </c>
      <c r="C225" s="14" t="s">
        <v>501</v>
      </c>
      <c r="D225" s="15">
        <v>5</v>
      </c>
      <c r="E225" s="15"/>
      <c r="F225" s="15" t="s">
        <v>61</v>
      </c>
      <c r="G225" s="15">
        <v>8529</v>
      </c>
      <c r="H225" s="15" t="s">
        <v>68</v>
      </c>
      <c r="I225" s="16">
        <v>17418</v>
      </c>
      <c r="J225" s="15">
        <v>1</v>
      </c>
      <c r="K225" s="17" t="s">
        <v>502</v>
      </c>
      <c r="M225" s="2" t="str">
        <f>"M3K1"</f>
        <v/>
      </c>
    </row>
    <row r="226" spans="1:15" x14ac:dyDescent="0.35">
      <c r="A226" s="18">
        <v>41852</v>
      </c>
      <c r="B226" s="18" t="s">
        <v>590</v>
      </c>
      <c r="C226" s="14" t="s">
        <v>503</v>
      </c>
      <c r="D226" s="15">
        <v>7</v>
      </c>
      <c r="E226" s="15"/>
      <c r="F226" s="15" t="s">
        <v>61</v>
      </c>
      <c r="G226" s="15">
        <v>1741</v>
      </c>
      <c r="H226" s="15" t="s">
        <v>68</v>
      </c>
      <c r="I226" s="16">
        <v>29630</v>
      </c>
      <c r="J226" s="15">
        <v>3</v>
      </c>
      <c r="K226" s="17" t="s">
        <v>504</v>
      </c>
      <c r="M226" s="2" t="str">
        <f>"YFWD"</f>
        <v/>
      </c>
    </row>
    <row r="227" spans="1:15" x14ac:dyDescent="0.35">
      <c r="A227" s="18">
        <v>63074</v>
      </c>
      <c r="B227" s="18" t="s">
        <v>590</v>
      </c>
      <c r="C227" s="14" t="s">
        <v>505</v>
      </c>
      <c r="D227" s="15">
        <v>9</v>
      </c>
      <c r="E227" s="15"/>
      <c r="F227" s="15" t="s">
        <v>61</v>
      </c>
      <c r="G227" s="15">
        <v>2963</v>
      </c>
      <c r="H227" s="15" t="s">
        <v>68</v>
      </c>
      <c r="I227" s="16">
        <v>41852</v>
      </c>
      <c r="J227" s="15">
        <v>5</v>
      </c>
      <c r="K227" s="17" t="s">
        <v>506</v>
      </c>
      <c r="M227" s="2" t="str">
        <f>"AR8P"</f>
        <v/>
      </c>
    </row>
    <row r="228" spans="1:15" x14ac:dyDescent="0.35">
      <c r="A228" s="18">
        <v>85296</v>
      </c>
      <c r="B228" s="18" t="s">
        <v>590</v>
      </c>
      <c r="C228" s="14" t="s">
        <v>507</v>
      </c>
      <c r="D228" s="15">
        <v>1</v>
      </c>
      <c r="E228" s="15"/>
      <c r="F228" s="15" t="s">
        <v>61</v>
      </c>
      <c r="G228" s="15">
        <v>4185</v>
      </c>
      <c r="H228" s="15" t="s">
        <v>68</v>
      </c>
      <c r="I228" s="16">
        <v>63074</v>
      </c>
      <c r="J228" s="15">
        <v>7</v>
      </c>
      <c r="K228" s="17" t="s">
        <v>508</v>
      </c>
      <c r="M228" s="2" t="str">
        <f>"M3K1"</f>
        <v/>
      </c>
    </row>
    <row r="229" spans="1:15" x14ac:dyDescent="0.35">
      <c r="A229" s="18">
        <v>17418</v>
      </c>
      <c r="B229" s="18" t="s">
        <v>590</v>
      </c>
      <c r="C229" s="14" t="s">
        <v>509</v>
      </c>
      <c r="D229" s="15">
        <v>3</v>
      </c>
      <c r="E229" s="15"/>
      <c r="F229" s="15" t="s">
        <v>61</v>
      </c>
      <c r="G229" s="15">
        <v>6307</v>
      </c>
      <c r="H229" s="15" t="s">
        <v>68</v>
      </c>
      <c r="I229" s="16">
        <v>85296</v>
      </c>
      <c r="J229" s="15">
        <v>9</v>
      </c>
      <c r="K229" s="17" t="s">
        <v>510</v>
      </c>
      <c r="M229" s="2" t="str">
        <f>"YFWD"</f>
        <v/>
      </c>
    </row>
    <row r="230" spans="1:15" x14ac:dyDescent="0.35">
      <c r="A230" s="18">
        <v>29630</v>
      </c>
      <c r="B230" s="18" t="s">
        <v>590</v>
      </c>
      <c r="C230" s="14" t="s">
        <v>511</v>
      </c>
      <c r="D230" s="15">
        <v>5</v>
      </c>
      <c r="E230" s="15"/>
      <c r="F230" s="15" t="s">
        <v>61</v>
      </c>
      <c r="G230" s="15">
        <v>8529</v>
      </c>
      <c r="H230" s="15" t="s">
        <v>155</v>
      </c>
      <c r="I230" s="16">
        <v>17418</v>
      </c>
      <c r="J230" s="15">
        <v>1</v>
      </c>
      <c r="K230" s="17" t="s">
        <v>512</v>
      </c>
      <c r="L230" s="1" t="str">
        <f>"AR8P6N4L2J0HYFWDUBS9"</f>
        <v>AR8P6N4L2J0HYFWDUBS9</v>
      </c>
      <c r="M230" s="2" t="str">
        <f>"N4L2J0HYFWDUBS9Q7"</f>
        <v>N4L2J0HYFWDUBS9Q7</v>
      </c>
      <c r="N230" s="1" t="s">
        <v>64</v>
      </c>
      <c r="O230" s="1">
        <v>6307</v>
      </c>
    </row>
    <row r="231" spans="1:15" x14ac:dyDescent="0.35">
      <c r="A231" s="18">
        <v>74185</v>
      </c>
      <c r="B231" s="18" t="s">
        <v>590</v>
      </c>
      <c r="C231" s="14" t="s">
        <v>513</v>
      </c>
      <c r="D231" s="15">
        <v>1</v>
      </c>
      <c r="E231" s="15"/>
      <c r="F231" s="15" t="s">
        <v>61</v>
      </c>
      <c r="G231" s="15">
        <v>3074</v>
      </c>
      <c r="H231" s="15" t="s">
        <v>68</v>
      </c>
      <c r="I231" s="16">
        <v>52963</v>
      </c>
      <c r="J231" s="15">
        <v>6</v>
      </c>
      <c r="K231" s="17" t="s">
        <v>514</v>
      </c>
      <c r="M231" s="2" t="str">
        <f>"P6N4"</f>
        <v/>
      </c>
    </row>
    <row r="232" spans="1:15" x14ac:dyDescent="0.35">
      <c r="A232" s="18">
        <v>96307</v>
      </c>
      <c r="B232" s="18" t="s">
        <v>590</v>
      </c>
      <c r="C232" s="14" t="s">
        <v>515</v>
      </c>
      <c r="D232" s="15">
        <v>2</v>
      </c>
      <c r="E232" s="15"/>
      <c r="F232" s="15" t="s">
        <v>61</v>
      </c>
      <c r="G232" s="15">
        <v>5296</v>
      </c>
      <c r="H232" s="15" t="s">
        <v>68</v>
      </c>
      <c r="I232" s="16">
        <v>74185</v>
      </c>
      <c r="J232" s="15">
        <v>8</v>
      </c>
      <c r="K232" s="17" t="s">
        <v>516</v>
      </c>
      <c r="M232" s="2" t="str">
        <f>"1IZG"</f>
        <v/>
      </c>
    </row>
    <row r="233" spans="1:15" x14ac:dyDescent="0.35">
      <c r="A233" s="18">
        <v>18529</v>
      </c>
      <c r="B233" s="18" t="s">
        <v>590</v>
      </c>
      <c r="C233" s="14" t="s">
        <v>517</v>
      </c>
      <c r="D233" s="15">
        <v>4</v>
      </c>
      <c r="E233" s="15"/>
      <c r="F233" s="15" t="s">
        <v>61</v>
      </c>
      <c r="G233" s="15">
        <v>7418</v>
      </c>
      <c r="H233" s="15" t="s">
        <v>68</v>
      </c>
      <c r="I233" s="16">
        <v>96307</v>
      </c>
      <c r="J233" s="15">
        <v>1</v>
      </c>
      <c r="K233" s="17" t="s">
        <v>518</v>
      </c>
      <c r="M233" s="2" t="str">
        <f>"DUBS"</f>
        <v/>
      </c>
    </row>
    <row r="234" spans="1:15" x14ac:dyDescent="0.35">
      <c r="A234" s="18">
        <v>30741</v>
      </c>
      <c r="B234" s="18" t="s">
        <v>590</v>
      </c>
      <c r="C234" s="14" t="s">
        <v>519</v>
      </c>
      <c r="D234" s="15">
        <v>6</v>
      </c>
      <c r="E234" s="15"/>
      <c r="F234" s="15" t="s">
        <v>61</v>
      </c>
      <c r="G234" s="15">
        <v>9630</v>
      </c>
      <c r="H234" s="15" t="s">
        <v>68</v>
      </c>
      <c r="I234" s="16">
        <v>18529</v>
      </c>
      <c r="J234" s="15">
        <v>2</v>
      </c>
      <c r="K234" s="17" t="s">
        <v>520</v>
      </c>
      <c r="M234" s="2" t="str">
        <f>"P6N4"</f>
        <v/>
      </c>
    </row>
    <row r="235" spans="1:15" x14ac:dyDescent="0.35">
      <c r="A235" s="18">
        <v>52963</v>
      </c>
      <c r="B235" s="18" t="s">
        <v>590</v>
      </c>
      <c r="C235" s="14" t="s">
        <v>521</v>
      </c>
      <c r="D235" s="15">
        <v>8</v>
      </c>
      <c r="E235" s="15"/>
      <c r="F235" s="15" t="s">
        <v>61</v>
      </c>
      <c r="G235" s="15">
        <v>1852</v>
      </c>
      <c r="H235" s="15" t="s">
        <v>68</v>
      </c>
      <c r="I235" s="16">
        <v>30741</v>
      </c>
      <c r="J235" s="15">
        <v>4</v>
      </c>
      <c r="K235" s="17" t="s">
        <v>522</v>
      </c>
      <c r="M235" s="2" t="str">
        <f>"1IZG"</f>
        <v/>
      </c>
    </row>
    <row r="236" spans="1:15" x14ac:dyDescent="0.35">
      <c r="A236" s="18">
        <v>74185</v>
      </c>
      <c r="B236" s="18" t="s">
        <v>590</v>
      </c>
      <c r="C236" s="14" t="s">
        <v>523</v>
      </c>
      <c r="D236" s="15">
        <v>1</v>
      </c>
      <c r="E236" s="15"/>
      <c r="F236" s="15" t="s">
        <v>61</v>
      </c>
      <c r="G236" s="15">
        <v>3074</v>
      </c>
      <c r="H236" s="15" t="s">
        <v>155</v>
      </c>
      <c r="I236" s="16">
        <v>52963</v>
      </c>
      <c r="J236" s="15">
        <v>6</v>
      </c>
      <c r="K236" s="17" t="s">
        <v>524</v>
      </c>
      <c r="L236" s="1" t="str">
        <f>"DUBS9Q7O5M3K1IZGXEVC"</f>
        <v>DUBS9Q7O5M3K1IZGXEVC</v>
      </c>
      <c r="M236" s="2" t="str">
        <f>"Q7O5M3K1IZGXEVCTA"</f>
        <v>Q7O5M3K1IZGXEVCTA</v>
      </c>
      <c r="N236" s="1" t="s">
        <v>64</v>
      </c>
      <c r="O236" s="1">
        <v>1852</v>
      </c>
    </row>
    <row r="237" spans="1:15" x14ac:dyDescent="0.35">
      <c r="A237" s="18">
        <v>29630</v>
      </c>
      <c r="B237" s="18" t="s">
        <v>590</v>
      </c>
      <c r="C237" s="14" t="s">
        <v>525</v>
      </c>
      <c r="D237" s="15">
        <v>5</v>
      </c>
      <c r="E237" s="15"/>
      <c r="F237" s="15" t="s">
        <v>61</v>
      </c>
      <c r="G237" s="15">
        <v>8529</v>
      </c>
      <c r="H237" s="15" t="s">
        <v>68</v>
      </c>
      <c r="I237" s="16">
        <v>17418</v>
      </c>
      <c r="J237" s="15">
        <v>1</v>
      </c>
      <c r="K237" s="17" t="s">
        <v>526</v>
      </c>
      <c r="M237" s="2" t="str">
        <f>"S9Q7"</f>
        <v/>
      </c>
    </row>
    <row r="238" spans="1:15" x14ac:dyDescent="0.35">
      <c r="A238" s="18">
        <v>41852</v>
      </c>
      <c r="B238" s="18" t="s">
        <v>590</v>
      </c>
      <c r="C238" s="14" t="s">
        <v>527</v>
      </c>
      <c r="D238" s="15">
        <v>7</v>
      </c>
      <c r="E238" s="15"/>
      <c r="F238" s="15" t="s">
        <v>61</v>
      </c>
      <c r="G238" s="15">
        <v>1741</v>
      </c>
      <c r="H238" s="15" t="s">
        <v>68</v>
      </c>
      <c r="I238" s="16">
        <v>29630</v>
      </c>
      <c r="J238" s="15">
        <v>3</v>
      </c>
      <c r="K238" s="17" t="s">
        <v>528</v>
      </c>
      <c r="M238" s="2" t="str">
        <f>"4L2J"</f>
        <v/>
      </c>
    </row>
    <row r="239" spans="1:15" x14ac:dyDescent="0.35">
      <c r="A239" s="18">
        <v>63074</v>
      </c>
      <c r="B239" s="18" t="s">
        <v>590</v>
      </c>
      <c r="C239" s="14" t="s">
        <v>529</v>
      </c>
      <c r="D239" s="15">
        <v>9</v>
      </c>
      <c r="E239" s="15"/>
      <c r="F239" s="15" t="s">
        <v>61</v>
      </c>
      <c r="G239" s="15">
        <v>2963</v>
      </c>
      <c r="H239" s="15" t="s">
        <v>68</v>
      </c>
      <c r="I239" s="16">
        <v>41852</v>
      </c>
      <c r="J239" s="15">
        <v>5</v>
      </c>
      <c r="K239" s="17" t="s">
        <v>530</v>
      </c>
      <c r="M239" s="2" t="str">
        <f>"GXEV"</f>
        <v/>
      </c>
    </row>
    <row r="240" spans="1:15" x14ac:dyDescent="0.35">
      <c r="A240" s="18">
        <v>85296</v>
      </c>
      <c r="B240" s="18" t="s">
        <v>590</v>
      </c>
      <c r="C240" s="14" t="s">
        <v>531</v>
      </c>
      <c r="D240" s="15">
        <v>1</v>
      </c>
      <c r="E240" s="15"/>
      <c r="F240" s="15" t="s">
        <v>61</v>
      </c>
      <c r="G240" s="15">
        <v>4185</v>
      </c>
      <c r="H240" s="15" t="s">
        <v>68</v>
      </c>
      <c r="I240" s="16">
        <v>63074</v>
      </c>
      <c r="J240" s="15">
        <v>7</v>
      </c>
      <c r="K240" s="17" t="s">
        <v>532</v>
      </c>
      <c r="M240" s="2" t="str">
        <f>"S9Q7"</f>
        <v/>
      </c>
    </row>
    <row r="241" spans="1:15" x14ac:dyDescent="0.35">
      <c r="A241" s="18">
        <v>17418</v>
      </c>
      <c r="B241" s="18" t="s">
        <v>590</v>
      </c>
      <c r="C241" s="14" t="s">
        <v>533</v>
      </c>
      <c r="D241" s="15">
        <v>3</v>
      </c>
      <c r="E241" s="15"/>
      <c r="F241" s="15" t="s">
        <v>61</v>
      </c>
      <c r="G241" s="15">
        <v>6307</v>
      </c>
      <c r="H241" s="15" t="s">
        <v>68</v>
      </c>
      <c r="I241" s="16">
        <v>85296</v>
      </c>
      <c r="J241" s="15">
        <v>9</v>
      </c>
      <c r="K241" s="17" t="s">
        <v>534</v>
      </c>
      <c r="M241" s="2" t="str">
        <f>"4L2J"</f>
        <v/>
      </c>
    </row>
    <row r="242" spans="1:15" x14ac:dyDescent="0.35">
      <c r="A242" s="18">
        <v>29630</v>
      </c>
      <c r="B242" s="18" t="s">
        <v>590</v>
      </c>
      <c r="C242" s="14" t="s">
        <v>535</v>
      </c>
      <c r="D242" s="15">
        <v>5</v>
      </c>
      <c r="E242" s="15"/>
      <c r="F242" s="15" t="s">
        <v>61</v>
      </c>
      <c r="G242" s="15">
        <v>8529</v>
      </c>
      <c r="H242" s="15" t="s">
        <v>68</v>
      </c>
      <c r="I242" s="16">
        <v>17418</v>
      </c>
      <c r="J242" s="15">
        <v>1</v>
      </c>
      <c r="K242" s="17" t="s">
        <v>536</v>
      </c>
      <c r="M242" s="2" t="str">
        <f>"GXEV"</f>
        <v/>
      </c>
    </row>
    <row r="243" spans="1:15" x14ac:dyDescent="0.35">
      <c r="A243" s="18">
        <v>41852</v>
      </c>
      <c r="B243" s="18" t="s">
        <v>590</v>
      </c>
      <c r="C243" s="14" t="s">
        <v>537</v>
      </c>
      <c r="D243" s="15">
        <v>7</v>
      </c>
      <c r="E243" s="15"/>
      <c r="F243" s="15" t="s">
        <v>61</v>
      </c>
      <c r="G243" s="15">
        <v>1741</v>
      </c>
      <c r="H243" s="15" t="s">
        <v>68</v>
      </c>
      <c r="I243" s="16">
        <v>29630</v>
      </c>
      <c r="J243" s="15">
        <v>3</v>
      </c>
      <c r="K243" s="17" t="s">
        <v>538</v>
      </c>
      <c r="M243" s="2" t="str">
        <f>"S9Q7"</f>
        <v/>
      </c>
    </row>
    <row r="244" spans="1:15" x14ac:dyDescent="0.35">
      <c r="A244" s="18">
        <v>63074</v>
      </c>
      <c r="B244" s="18" t="s">
        <v>590</v>
      </c>
      <c r="C244" s="14" t="s">
        <v>539</v>
      </c>
      <c r="D244" s="15">
        <v>9</v>
      </c>
      <c r="E244" s="15"/>
      <c r="F244" s="15" t="s">
        <v>61</v>
      </c>
      <c r="G244" s="15">
        <v>2963</v>
      </c>
      <c r="H244" s="15" t="s">
        <v>68</v>
      </c>
      <c r="I244" s="16">
        <v>41852</v>
      </c>
      <c r="J244" s="15">
        <v>5</v>
      </c>
      <c r="K244" s="17" t="s">
        <v>540</v>
      </c>
      <c r="M244" s="2" t="str">
        <f>"4L2J"</f>
        <v/>
      </c>
    </row>
    <row r="245" spans="1:15" x14ac:dyDescent="0.35">
      <c r="A245" s="18">
        <v>85296</v>
      </c>
      <c r="B245" s="18" t="s">
        <v>590</v>
      </c>
      <c r="C245" s="14" t="s">
        <v>541</v>
      </c>
      <c r="D245" s="15">
        <v>1</v>
      </c>
      <c r="E245" s="15"/>
      <c r="F245" s="15" t="s">
        <v>61</v>
      </c>
      <c r="G245" s="15">
        <v>4185</v>
      </c>
      <c r="H245" s="15" t="s">
        <v>68</v>
      </c>
      <c r="I245" s="16">
        <v>63074</v>
      </c>
      <c r="J245" s="15">
        <v>7</v>
      </c>
      <c r="K245" s="17" t="s">
        <v>542</v>
      </c>
      <c r="M245" s="2" t="str">
        <f>"GXEV"</f>
        <v/>
      </c>
    </row>
    <row r="246" spans="1:15" x14ac:dyDescent="0.35">
      <c r="A246" s="18">
        <v>17418</v>
      </c>
      <c r="B246" s="18" t="s">
        <v>590</v>
      </c>
      <c r="C246" s="14" t="s">
        <v>543</v>
      </c>
      <c r="D246" s="15">
        <v>3</v>
      </c>
      <c r="E246" s="15"/>
      <c r="F246" s="15" t="s">
        <v>61</v>
      </c>
      <c r="G246" s="15">
        <v>6307</v>
      </c>
      <c r="H246" s="15" t="s">
        <v>185</v>
      </c>
      <c r="I246" s="16">
        <v>85296</v>
      </c>
      <c r="J246" s="15">
        <v>9</v>
      </c>
      <c r="K246" s="17" t="s">
        <v>544</v>
      </c>
      <c r="L246" s="1" t="str">
        <f>"S9Q7O5M3K1IZGXEVC"</f>
        <v>S9Q7O5M3K1IZGXEVC</v>
      </c>
      <c r="M246" s="2" t="str">
        <f>"5M3K1IZGX"</f>
        <v>5M3K1IZGX</v>
      </c>
      <c r="N246" s="1" t="s">
        <v>102</v>
      </c>
      <c r="O246" s="1">
        <v>41</v>
      </c>
    </row>
    <row r="247" spans="1:15" x14ac:dyDescent="0.35">
      <c r="A247" s="18">
        <v>52963</v>
      </c>
      <c r="B247" s="18" t="s">
        <v>590</v>
      </c>
      <c r="C247" s="14" t="s">
        <v>545</v>
      </c>
      <c r="D247" s="15">
        <v>8</v>
      </c>
      <c r="E247" s="15"/>
      <c r="F247" s="15" t="s">
        <v>61</v>
      </c>
      <c r="G247" s="15">
        <v>1852</v>
      </c>
      <c r="H247" s="15" t="s">
        <v>68</v>
      </c>
      <c r="I247" s="16">
        <v>30741</v>
      </c>
      <c r="J247" s="15">
        <v>4</v>
      </c>
      <c r="K247" s="17" t="s">
        <v>546</v>
      </c>
      <c r="M247" s="2" t="str">
        <f>"7O5M"</f>
        <v/>
      </c>
    </row>
    <row r="248" spans="1:15" x14ac:dyDescent="0.35">
      <c r="A248" s="18">
        <v>74185</v>
      </c>
      <c r="B248" s="18" t="s">
        <v>590</v>
      </c>
      <c r="C248" s="14" t="s">
        <v>547</v>
      </c>
      <c r="D248" s="15">
        <v>1</v>
      </c>
      <c r="E248" s="15"/>
      <c r="F248" s="15" t="s">
        <v>61</v>
      </c>
      <c r="G248" s="15">
        <v>3074</v>
      </c>
      <c r="H248" s="15" t="s">
        <v>68</v>
      </c>
      <c r="I248" s="16">
        <v>52963</v>
      </c>
      <c r="J248" s="15">
        <v>6</v>
      </c>
      <c r="K248" s="17" t="s">
        <v>548</v>
      </c>
      <c r="M248" s="2" t="str">
        <f>"J0HY"</f>
        <v/>
      </c>
    </row>
    <row r="249" spans="1:15" x14ac:dyDescent="0.35">
      <c r="A249" s="18">
        <v>96307</v>
      </c>
      <c r="B249" s="18" t="s">
        <v>590</v>
      </c>
      <c r="C249" s="14" t="s">
        <v>549</v>
      </c>
      <c r="D249" s="15">
        <v>2</v>
      </c>
      <c r="E249" s="15"/>
      <c r="F249" s="15" t="s">
        <v>61</v>
      </c>
      <c r="G249" s="15">
        <v>5296</v>
      </c>
      <c r="H249" s="15" t="s">
        <v>68</v>
      </c>
      <c r="I249" s="16">
        <v>74185</v>
      </c>
      <c r="J249" s="15">
        <v>8</v>
      </c>
      <c r="K249" s="17" t="s">
        <v>550</v>
      </c>
      <c r="M249" s="2" t="str">
        <f>"VCTA"</f>
        <v/>
      </c>
    </row>
    <row r="250" spans="1:15" x14ac:dyDescent="0.35">
      <c r="A250" s="18">
        <v>18529</v>
      </c>
      <c r="B250" s="18" t="s">
        <v>590</v>
      </c>
      <c r="C250" s="14" t="s">
        <v>551</v>
      </c>
      <c r="D250" s="15">
        <v>4</v>
      </c>
      <c r="E250" s="15"/>
      <c r="F250" s="15" t="s">
        <v>61</v>
      </c>
      <c r="G250" s="15">
        <v>7418</v>
      </c>
      <c r="H250" s="15" t="s">
        <v>68</v>
      </c>
      <c r="I250" s="16">
        <v>96307</v>
      </c>
      <c r="J250" s="15">
        <v>1</v>
      </c>
      <c r="K250" s="17" t="s">
        <v>552</v>
      </c>
      <c r="L250" s="1" t="s">
        <v>553</v>
      </c>
      <c r="M250" s="2" t="str">
        <f>"K1IZ"</f>
        <v/>
      </c>
    </row>
    <row r="251" spans="1:15" x14ac:dyDescent="0.35">
      <c r="A251" s="18">
        <v>41852</v>
      </c>
      <c r="B251" s="18" t="s">
        <v>590</v>
      </c>
      <c r="C251" s="14" t="s">
        <v>554</v>
      </c>
      <c r="D251" s="15">
        <v>7</v>
      </c>
      <c r="E251" s="15"/>
      <c r="F251" s="15" t="s">
        <v>61</v>
      </c>
      <c r="G251" s="15">
        <v>1741</v>
      </c>
      <c r="H251" s="15" t="s">
        <v>68</v>
      </c>
      <c r="I251" s="16">
        <v>29630</v>
      </c>
      <c r="J251" s="15">
        <v>3</v>
      </c>
      <c r="K251" s="17" t="s">
        <v>555</v>
      </c>
      <c r="L251" s="1" t="s">
        <v>553</v>
      </c>
      <c r="M251" s="2" t="str">
        <f>"9Q7O"</f>
        <v/>
      </c>
    </row>
    <row r="252" spans="1:15" x14ac:dyDescent="0.35">
      <c r="A252" s="13" t="s">
        <v>556</v>
      </c>
      <c r="B252" s="18" t="s">
        <v>590</v>
      </c>
      <c r="C252" s="14" t="s">
        <v>557</v>
      </c>
      <c r="D252" s="15">
        <v>1</v>
      </c>
      <c r="E252" s="15">
        <v>1852</v>
      </c>
      <c r="F252" s="15" t="s">
        <v>61</v>
      </c>
      <c r="G252" s="15"/>
      <c r="H252" s="15"/>
      <c r="I252" s="16"/>
      <c r="J252" s="15"/>
      <c r="K252" s="17" t="s">
        <v>558</v>
      </c>
    </row>
    <row r="253" spans="1:15" x14ac:dyDescent="0.35">
      <c r="A253" s="13" t="s">
        <v>559</v>
      </c>
      <c r="B253" s="18" t="s">
        <v>590</v>
      </c>
      <c r="C253" s="14" t="s">
        <v>560</v>
      </c>
      <c r="D253" s="15">
        <v>1</v>
      </c>
      <c r="E253" s="15"/>
      <c r="F253" s="15" t="s">
        <v>61</v>
      </c>
      <c r="G253" s="15"/>
      <c r="H253" s="15"/>
      <c r="I253" s="16"/>
      <c r="J253" s="15"/>
      <c r="K253" s="17" t="s">
        <v>561</v>
      </c>
    </row>
    <row r="254" spans="1:15" x14ac:dyDescent="0.35">
      <c r="A254" s="19" t="s">
        <v>562</v>
      </c>
      <c r="B254" s="18" t="s">
        <v>590</v>
      </c>
      <c r="C254" s="20" t="s">
        <v>563</v>
      </c>
      <c r="D254" s="21">
        <v>2</v>
      </c>
      <c r="E254" s="21"/>
      <c r="F254" s="21" t="s">
        <v>61</v>
      </c>
      <c r="G254" s="21"/>
      <c r="H254" s="21"/>
      <c r="I254" s="16"/>
      <c r="J254" s="21"/>
      <c r="K254" s="17" t="s">
        <v>564</v>
      </c>
    </row>
    <row r="255" spans="1:15" x14ac:dyDescent="0.35">
      <c r="A255" s="13" t="s">
        <v>565</v>
      </c>
      <c r="B255" s="18" t="s">
        <v>590</v>
      </c>
      <c r="C255" s="14" t="s">
        <v>566</v>
      </c>
      <c r="D255" s="15">
        <v>3</v>
      </c>
      <c r="E255" s="15"/>
      <c r="F255" s="15" t="s">
        <v>61</v>
      </c>
      <c r="G255" s="15"/>
      <c r="H255" s="15"/>
      <c r="I255" s="16"/>
      <c r="J255" s="15">
        <v>9</v>
      </c>
      <c r="K255" s="17" t="s">
        <v>567</v>
      </c>
    </row>
    <row r="256" spans="1:15" x14ac:dyDescent="0.35">
      <c r="A256" s="15">
        <v>18529</v>
      </c>
      <c r="B256" s="13" t="s">
        <v>590</v>
      </c>
      <c r="C256" s="22" t="s">
        <v>568</v>
      </c>
      <c r="D256" s="15">
        <v>4</v>
      </c>
      <c r="E256" s="21"/>
      <c r="F256" s="21" t="s">
        <v>61</v>
      </c>
      <c r="G256" s="15"/>
      <c r="H256" s="15"/>
      <c r="I256" s="15"/>
      <c r="J256" s="15"/>
      <c r="K256" s="17" t="s">
        <v>569</v>
      </c>
    </row>
    <row r="257" spans="1:16 16370:16371" x14ac:dyDescent="0.35">
      <c r="A257" s="15">
        <v>29630</v>
      </c>
      <c r="B257" s="13" t="s">
        <v>590</v>
      </c>
      <c r="C257" s="15" t="s">
        <v>570</v>
      </c>
      <c r="D257" s="15">
        <v>5</v>
      </c>
      <c r="E257" s="21">
        <v>630741</v>
      </c>
      <c r="F257" s="21" t="s">
        <v>61</v>
      </c>
      <c r="G257" s="15"/>
      <c r="H257" s="15"/>
      <c r="I257" s="15"/>
      <c r="J257" s="15"/>
      <c r="K257" s="17" t="s">
        <v>571</v>
      </c>
    </row>
    <row r="258" spans="1:16 16370:16371" x14ac:dyDescent="0.35">
      <c r="A258" s="15">
        <v>30741</v>
      </c>
      <c r="B258" s="13" t="s">
        <v>590</v>
      </c>
      <c r="C258" s="22" t="s">
        <v>572</v>
      </c>
      <c r="D258" s="15">
        <v>6</v>
      </c>
      <c r="E258" s="21">
        <v>741852</v>
      </c>
      <c r="F258" s="21" t="s">
        <v>61</v>
      </c>
      <c r="G258" s="15"/>
      <c r="H258" s="15"/>
      <c r="I258" s="15"/>
      <c r="J258" s="15"/>
      <c r="K258" s="17" t="s">
        <v>571</v>
      </c>
    </row>
    <row r="259" spans="1:16 16370:16371" x14ac:dyDescent="0.35">
      <c r="A259" s="15">
        <v>41852</v>
      </c>
      <c r="B259" s="13" t="s">
        <v>590</v>
      </c>
      <c r="C259" s="22" t="s">
        <v>573</v>
      </c>
      <c r="D259" s="15">
        <v>7</v>
      </c>
      <c r="E259" s="21">
        <v>852963</v>
      </c>
      <c r="F259" s="21" t="s">
        <v>61</v>
      </c>
      <c r="G259" s="15"/>
      <c r="H259" s="15"/>
      <c r="I259" s="15"/>
      <c r="J259" s="15"/>
      <c r="K259" s="17" t="s">
        <v>571</v>
      </c>
    </row>
    <row r="260" spans="1:16 16370:16371" x14ac:dyDescent="0.35">
      <c r="A260" s="15">
        <v>52963</v>
      </c>
      <c r="B260" s="13" t="s">
        <v>590</v>
      </c>
      <c r="C260" s="22" t="s">
        <v>574</v>
      </c>
      <c r="D260" s="15">
        <v>8</v>
      </c>
      <c r="E260" s="21">
        <v>963074</v>
      </c>
      <c r="F260" s="21" t="s">
        <v>61</v>
      </c>
      <c r="G260" s="15"/>
      <c r="H260" s="15"/>
      <c r="I260" s="15"/>
      <c r="J260" s="15"/>
      <c r="K260" s="17" t="s">
        <v>571</v>
      </c>
    </row>
    <row r="261" spans="1:16 16370:16371" x14ac:dyDescent="0.35">
      <c r="A261" s="15">
        <v>63074</v>
      </c>
      <c r="B261" s="13" t="s">
        <v>590</v>
      </c>
      <c r="C261" s="22" t="s">
        <v>575</v>
      </c>
      <c r="D261" s="15">
        <v>9</v>
      </c>
      <c r="E261" s="21">
        <v>174185</v>
      </c>
      <c r="F261" s="21" t="s">
        <v>61</v>
      </c>
      <c r="G261" s="15"/>
      <c r="H261" s="15"/>
      <c r="I261" s="15"/>
      <c r="J261" s="15"/>
      <c r="K261" s="17" t="s">
        <v>571</v>
      </c>
    </row>
    <row r="262" spans="1:16 16370:16371" x14ac:dyDescent="0.35">
      <c r="A262" s="15">
        <v>74185</v>
      </c>
      <c r="B262" s="13" t="s">
        <v>590</v>
      </c>
      <c r="C262" s="22" t="s">
        <v>576</v>
      </c>
      <c r="D262" s="15">
        <v>1</v>
      </c>
      <c r="E262" s="21">
        <v>185296</v>
      </c>
      <c r="F262" s="21" t="s">
        <v>61</v>
      </c>
      <c r="G262" s="15"/>
      <c r="H262" s="15"/>
      <c r="I262" s="15"/>
      <c r="J262" s="15"/>
      <c r="K262" s="17" t="s">
        <v>571</v>
      </c>
    </row>
    <row r="263" spans="1:16 16370:16371" x14ac:dyDescent="0.35">
      <c r="A263" s="15">
        <v>85296</v>
      </c>
      <c r="B263" s="13" t="s">
        <v>590</v>
      </c>
      <c r="C263" s="22" t="s">
        <v>577</v>
      </c>
      <c r="D263" s="15">
        <v>1</v>
      </c>
      <c r="E263" s="21">
        <v>296307</v>
      </c>
      <c r="F263" s="21" t="s">
        <v>61</v>
      </c>
      <c r="G263" s="15"/>
      <c r="H263" s="15"/>
      <c r="I263" s="15"/>
      <c r="J263" s="15"/>
      <c r="K263" s="17" t="s">
        <v>571</v>
      </c>
    </row>
    <row r="264" spans="1:16 16370:16371" x14ac:dyDescent="0.35">
      <c r="A264" s="15">
        <v>96307</v>
      </c>
      <c r="B264" s="13" t="s">
        <v>590</v>
      </c>
      <c r="C264" s="22" t="s">
        <v>578</v>
      </c>
      <c r="D264" s="15">
        <v>2</v>
      </c>
      <c r="E264" s="21">
        <v>3074</v>
      </c>
      <c r="F264" s="21" t="s">
        <v>61</v>
      </c>
      <c r="G264" s="15"/>
      <c r="H264" s="15"/>
      <c r="I264" s="15"/>
      <c r="J264" s="15"/>
      <c r="K264" s="17" t="s">
        <v>571</v>
      </c>
    </row>
    <row r="265" spans="1:16 16370:16371" x14ac:dyDescent="0.35">
      <c r="A265" s="15">
        <v>17418</v>
      </c>
      <c r="B265" s="13" t="s">
        <v>590</v>
      </c>
      <c r="C265" s="22" t="s">
        <v>579</v>
      </c>
      <c r="D265" s="15">
        <v>3</v>
      </c>
      <c r="E265" s="21">
        <v>4185</v>
      </c>
      <c r="F265" s="21" t="s">
        <v>61</v>
      </c>
      <c r="G265" s="15"/>
      <c r="H265" s="15"/>
      <c r="I265" s="15"/>
      <c r="J265" s="15"/>
      <c r="K265" s="17" t="s">
        <v>571</v>
      </c>
    </row>
    <row r="266" spans="1:16 16370:16371" x14ac:dyDescent="0.35">
      <c r="A266" s="15">
        <v>18529</v>
      </c>
      <c r="B266" s="13" t="s">
        <v>590</v>
      </c>
      <c r="C266" s="22" t="s">
        <v>580</v>
      </c>
      <c r="D266" s="15">
        <v>4</v>
      </c>
      <c r="E266" s="21">
        <v>5296</v>
      </c>
      <c r="F266" s="21" t="s">
        <v>61</v>
      </c>
      <c r="G266" s="15"/>
      <c r="H266" s="15"/>
      <c r="I266" s="15"/>
      <c r="J266" s="15"/>
      <c r="K266" s="17" t="s">
        <v>571</v>
      </c>
    </row>
    <row r="267" spans="1:16 16370:16371" x14ac:dyDescent="0.35">
      <c r="A267" s="15">
        <v>29630</v>
      </c>
      <c r="B267" s="13" t="s">
        <v>590</v>
      </c>
      <c r="C267" s="22" t="s">
        <v>581</v>
      </c>
      <c r="D267" s="15">
        <v>5</v>
      </c>
      <c r="E267" s="21">
        <v>6307</v>
      </c>
      <c r="F267" s="21" t="s">
        <v>61</v>
      </c>
      <c r="G267" s="15"/>
      <c r="H267" s="15"/>
      <c r="I267" s="15"/>
      <c r="J267" s="15"/>
      <c r="K267" s="17" t="s">
        <v>571</v>
      </c>
    </row>
    <row r="268" spans="1:16 16370:16371" x14ac:dyDescent="0.35">
      <c r="A268" s="15">
        <v>30741</v>
      </c>
      <c r="B268" s="13" t="s">
        <v>590</v>
      </c>
      <c r="C268" s="22" t="s">
        <v>582</v>
      </c>
      <c r="D268" s="15">
        <v>6</v>
      </c>
      <c r="E268" s="21">
        <v>7418</v>
      </c>
      <c r="F268" s="21" t="s">
        <v>61</v>
      </c>
      <c r="G268" s="15"/>
      <c r="H268" s="15"/>
      <c r="I268" s="15"/>
      <c r="J268" s="15"/>
      <c r="K268" s="17" t="s">
        <v>571</v>
      </c>
    </row>
    <row r="269" spans="1:16 16370:16371" x14ac:dyDescent="0.35">
      <c r="A269" s="15">
        <v>41852</v>
      </c>
      <c r="B269" s="13" t="s">
        <v>590</v>
      </c>
      <c r="C269" s="22" t="s">
        <v>583</v>
      </c>
      <c r="D269" s="15">
        <v>7</v>
      </c>
      <c r="E269" s="21">
        <v>8529</v>
      </c>
      <c r="F269" s="21" t="s">
        <v>61</v>
      </c>
      <c r="G269" s="15"/>
      <c r="H269" s="15"/>
      <c r="I269" s="15"/>
      <c r="J269" s="15"/>
      <c r="K269" s="17" t="s">
        <v>571</v>
      </c>
    </row>
    <row r="270" spans="1:16 16370:16371" x14ac:dyDescent="0.35">
      <c r="A270" s="15">
        <v>52963</v>
      </c>
      <c r="B270" s="13" t="s">
        <v>590</v>
      </c>
      <c r="C270" s="22" t="s">
        <v>584</v>
      </c>
      <c r="D270" s="15">
        <v>8</v>
      </c>
      <c r="E270" s="21">
        <v>9630</v>
      </c>
      <c r="F270" s="21" t="s">
        <v>61</v>
      </c>
      <c r="G270" s="15"/>
      <c r="H270" s="15"/>
      <c r="I270" s="15"/>
      <c r="J270" s="15"/>
      <c r="K270" s="17" t="s">
        <v>571</v>
      </c>
    </row>
    <row r="271" spans="1:16 16370:16371" x14ac:dyDescent="0.35">
      <c r="A271" s="15">
        <v>630741</v>
      </c>
      <c r="B271" t="inlineStr" s="13">
        <is>
          <t>GXEVCTAR</t>
        </is>
      </c>
      <c r="C271" s="23" t="s">
        <v>585</v>
      </c>
      <c r="D271" s="15">
        <v>9</v>
      </c>
      <c r="E271" s="21">
        <v>1741</v>
      </c>
      <c r="F271" s="21" t="s">
        <v>61</v>
      </c>
      <c r="G271" s="15"/>
      <c r="H271" s="15"/>
      <c r="I271" s="15"/>
      <c r="J271" s="15"/>
      <c r="K271" s="17"/>
    </row>
    <row r="272" spans="1:16 16370:16371" x14ac:dyDescent="0.35">
      <c r="A272" s="18">
        <v>74185</v>
      </c>
      <c r="B272" s="18" t="s">
        <v>593</v>
      </c>
      <c r="C272" s="14" t="s">
        <v>60</v>
      </c>
      <c r="D272" s="15">
        <v>1</v>
      </c>
      <c r="E272" s="15"/>
      <c r="F272" s="15" t="s">
        <v>61</v>
      </c>
      <c r="G272" s="15">
        <v>3074</v>
      </c>
      <c r="H272" s="15" t="s">
        <v>62</v>
      </c>
      <c r="I272" s="16">
        <v>52963</v>
      </c>
      <c r="J272" s="15">
        <v>6</v>
      </c>
      <c r="K272" s="17" t="s">
        <v>63</v>
      </c>
      <c r="L272" s="1" t="str">
        <f>"1IZGXEVCTAR8P6N4L2J0"</f>
        <v>1IZGXEVCTAR8P6N4L2J0</v>
      </c>
      <c r="M272" s="2" t="str">
        <f>"EVCTAR8P6N4L2J"</f>
        <v>EVCTAR8P6N4L2J</v>
      </c>
      <c r="N272" s="1" t="s">
        <v>64</v>
      </c>
      <c r="O272" s="1">
        <v>1852</v>
      </c>
      <c r="P272" s="2" t="str">
        <f t="shared" ref="P272:P287" si="16">"HYFWDUBS9Q7O5M"</f>
        <v>HYFWDUBS9Q7O5M</v>
      </c>
      <c r="XEP272" s="1"/>
      <c r="XEQ272"/>
    </row>
    <row r="273" spans="1:16 16370:16371" x14ac:dyDescent="0.35">
      <c r="A273" s="18">
        <v>52963</v>
      </c>
      <c r="B273" s="18" t="s">
        <v>593</v>
      </c>
      <c r="C273" s="14" t="s">
        <v>65</v>
      </c>
      <c r="D273" s="15">
        <v>8</v>
      </c>
      <c r="E273" s="15"/>
      <c r="F273" s="15" t="s">
        <v>61</v>
      </c>
      <c r="G273" s="15">
        <v>1852</v>
      </c>
      <c r="H273" s="15" t="s">
        <v>62</v>
      </c>
      <c r="I273" s="16">
        <v>30741</v>
      </c>
      <c r="J273" s="15">
        <v>4</v>
      </c>
      <c r="K273" s="17" t="s">
        <v>66</v>
      </c>
      <c r="P273" s="2" t="str">
        <f t="shared" si="16"/>
        <v>J0HYFWDUBS9Q7O</v>
      </c>
      <c r="XEP273" s="1"/>
      <c r="XEQ273"/>
    </row>
    <row r="274" spans="1:16 16370:16371" x14ac:dyDescent="0.35">
      <c r="A274" s="18">
        <v>96307</v>
      </c>
      <c r="B274" s="18" t="s">
        <v>593</v>
      </c>
      <c r="C274" s="14" t="s">
        <v>67</v>
      </c>
      <c r="D274" s="15">
        <v>2</v>
      </c>
      <c r="E274" s="15"/>
      <c r="F274" s="15" t="s">
        <v>61</v>
      </c>
      <c r="G274" s="15">
        <v>5296</v>
      </c>
      <c r="H274" s="15" t="s">
        <v>68</v>
      </c>
      <c r="I274" s="16">
        <v>74185</v>
      </c>
      <c r="J274" s="15">
        <v>8</v>
      </c>
      <c r="K274" s="17" t="s">
        <v>69</v>
      </c>
      <c r="M274" s="2" t="str">
        <f>"L2J0"</f>
        <v/>
      </c>
      <c r="P274" s="2" t="str">
        <f t="shared" si="16"/>
        <v/>
      </c>
      <c r="XEP274" s="1"/>
      <c r="XEQ274"/>
    </row>
    <row r="275" spans="1:16 16370:16371" x14ac:dyDescent="0.35">
      <c r="A275" s="18">
        <v>41852</v>
      </c>
      <c r="B275" s="18" t="s">
        <v>593</v>
      </c>
      <c r="C275" s="14" t="s">
        <v>70</v>
      </c>
      <c r="D275" s="15">
        <v>7</v>
      </c>
      <c r="E275" s="15"/>
      <c r="F275" s="15" t="s">
        <v>61</v>
      </c>
      <c r="G275" s="15">
        <v>1741</v>
      </c>
      <c r="H275" s="15" t="s">
        <v>68</v>
      </c>
      <c r="I275" s="16">
        <v>29630</v>
      </c>
      <c r="J275" s="15">
        <v>3</v>
      </c>
      <c r="K275" s="17" t="s">
        <v>71</v>
      </c>
      <c r="M275" s="2" t="str">
        <f>"0HYF"</f>
        <v/>
      </c>
      <c r="P275" s="2" t="str">
        <f t="shared" si="16"/>
        <v/>
      </c>
      <c r="XEP275" s="1"/>
      <c r="XEQ275"/>
    </row>
    <row r="276" spans="1:16 16370:16371" x14ac:dyDescent="0.35">
      <c r="A276" s="18">
        <v>96307</v>
      </c>
      <c r="B276" s="18" t="s">
        <v>593</v>
      </c>
      <c r="C276" s="14" t="s">
        <v>72</v>
      </c>
      <c r="D276" s="15">
        <v>2</v>
      </c>
      <c r="E276" s="15"/>
      <c r="F276" s="15" t="s">
        <v>61</v>
      </c>
      <c r="G276" s="15">
        <v>5296</v>
      </c>
      <c r="H276" s="15" t="s">
        <v>68</v>
      </c>
      <c r="I276" s="16">
        <v>74185</v>
      </c>
      <c r="J276" s="15">
        <v>8</v>
      </c>
      <c r="K276" s="17" t="s">
        <v>73</v>
      </c>
      <c r="M276" s="2" t="str">
        <f>"FWDU"</f>
        <v/>
      </c>
      <c r="P276" s="2" t="str">
        <f t="shared" si="16"/>
        <v/>
      </c>
      <c r="XEP276" s="1"/>
      <c r="XEQ276"/>
    </row>
    <row r="277" spans="1:16 16370:16371" x14ac:dyDescent="0.35">
      <c r="A277" s="18">
        <v>41852</v>
      </c>
      <c r="B277" s="18" t="s">
        <v>593</v>
      </c>
      <c r="C277" s="14" t="s">
        <v>74</v>
      </c>
      <c r="D277" s="15">
        <v>7</v>
      </c>
      <c r="E277" s="15"/>
      <c r="F277" s="15" t="s">
        <v>61</v>
      </c>
      <c r="G277" s="15">
        <v>1741</v>
      </c>
      <c r="H277" s="15" t="s">
        <v>75</v>
      </c>
      <c r="I277" s="16">
        <v>29630</v>
      </c>
      <c r="J277" s="15">
        <v>3</v>
      </c>
      <c r="K277" s="17" t="s">
        <v>76</v>
      </c>
      <c r="P277" s="2" t="str">
        <f t="shared" si="16"/>
        <v>UBS9Q7O5M3K1IZGXE</v>
      </c>
      <c r="XEP277" s="1"/>
      <c r="XEQ277"/>
    </row>
    <row r="278" spans="1:16 16370:16371" x14ac:dyDescent="0.35">
      <c r="A278" s="18">
        <v>85296</v>
      </c>
      <c r="B278" s="18" t="s">
        <v>593</v>
      </c>
      <c r="C278" s="14" t="s">
        <v>77</v>
      </c>
      <c r="D278" s="15">
        <v>1</v>
      </c>
      <c r="E278" s="15"/>
      <c r="F278" s="15" t="s">
        <v>61</v>
      </c>
      <c r="G278" s="15">
        <v>4185</v>
      </c>
      <c r="H278" s="15" t="s">
        <v>68</v>
      </c>
      <c r="I278" s="16">
        <v>63074</v>
      </c>
      <c r="J278" s="15">
        <v>7</v>
      </c>
      <c r="K278" s="17" t="s">
        <v>78</v>
      </c>
      <c r="M278" s="2" t="str">
        <f>"WDUB"</f>
        <v/>
      </c>
      <c r="P278" s="2" t="str">
        <f t="shared" si="16"/>
        <v/>
      </c>
      <c r="XEP278" s="1"/>
      <c r="XEQ278"/>
    </row>
    <row r="279" spans="1:16 16370:16371" x14ac:dyDescent="0.35">
      <c r="A279" s="18">
        <v>30741</v>
      </c>
      <c r="B279" s="18" t="s">
        <v>593</v>
      </c>
      <c r="C279" s="14" t="s">
        <v>79</v>
      </c>
      <c r="D279" s="15">
        <v>6</v>
      </c>
      <c r="E279" s="15"/>
      <c r="F279" s="15" t="s">
        <v>61</v>
      </c>
      <c r="G279" s="15">
        <v>9630</v>
      </c>
      <c r="H279" s="15" t="s">
        <v>75</v>
      </c>
      <c r="I279" s="16">
        <v>18529</v>
      </c>
      <c r="J279" s="15">
        <v>2</v>
      </c>
      <c r="K279" s="17" t="s">
        <v>80</v>
      </c>
      <c r="P279" s="2" t="str">
        <f t="shared" si="16"/>
        <v>BS9Q7O5M3K1IZGXEV</v>
      </c>
    </row>
    <row r="280" spans="1:16 16370:16371" x14ac:dyDescent="0.35">
      <c r="A280" s="18">
        <v>52963</v>
      </c>
      <c r="B280" s="18" t="s">
        <v>593</v>
      </c>
      <c r="C280" s="14" t="s">
        <v>81</v>
      </c>
      <c r="D280" s="15">
        <v>8</v>
      </c>
      <c r="E280" s="15"/>
      <c r="F280" s="15" t="s">
        <v>61</v>
      </c>
      <c r="G280" s="15">
        <v>1852</v>
      </c>
      <c r="H280" s="15" t="s">
        <v>68</v>
      </c>
      <c r="I280" s="16">
        <v>30741</v>
      </c>
      <c r="J280" s="15">
        <v>4</v>
      </c>
      <c r="K280" s="17" t="s">
        <v>82</v>
      </c>
      <c r="M280" s="2" t="str">
        <f>"N4L2"</f>
        <v/>
      </c>
      <c r="P280" s="2" t="str">
        <f t="shared" si="16"/>
        <v/>
      </c>
    </row>
    <row r="281" spans="1:16 16370:16371" x14ac:dyDescent="0.35">
      <c r="A281" s="18">
        <v>85296</v>
      </c>
      <c r="B281" s="18" t="s">
        <v>593</v>
      </c>
      <c r="C281" s="14" t="s">
        <v>83</v>
      </c>
      <c r="D281" s="15">
        <v>1</v>
      </c>
      <c r="E281" s="15"/>
      <c r="F281" s="15" t="s">
        <v>61</v>
      </c>
      <c r="G281" s="15">
        <v>4185</v>
      </c>
      <c r="H281" s="15" t="s">
        <v>68</v>
      </c>
      <c r="I281" s="16">
        <v>63074</v>
      </c>
      <c r="J281" s="15">
        <v>7</v>
      </c>
      <c r="K281" s="17" t="s">
        <v>84</v>
      </c>
      <c r="M281" s="2" t="str">
        <f>"CTAR"</f>
        <v/>
      </c>
      <c r="P281" s="2" t="str">
        <f t="shared" si="16"/>
        <v/>
      </c>
    </row>
    <row r="282" spans="1:16 16370:16371" x14ac:dyDescent="0.35">
      <c r="A282" s="18">
        <v>18529</v>
      </c>
      <c r="B282" s="18" t="s">
        <v>593</v>
      </c>
      <c r="C282" s="14" t="s">
        <v>85</v>
      </c>
      <c r="D282" s="15">
        <v>4</v>
      </c>
      <c r="E282" s="15"/>
      <c r="F282" s="15" t="s">
        <v>61</v>
      </c>
      <c r="G282" s="15">
        <v>7418</v>
      </c>
      <c r="H282" s="15" t="s">
        <v>68</v>
      </c>
      <c r="I282" s="16">
        <v>96307</v>
      </c>
      <c r="J282" s="15">
        <v>1</v>
      </c>
      <c r="K282" s="17" t="s">
        <v>86</v>
      </c>
      <c r="M282" s="2" t="str">
        <f>"1IZG"</f>
        <v/>
      </c>
      <c r="P282" s="2" t="str">
        <f t="shared" si="16"/>
        <v/>
      </c>
    </row>
    <row r="283" spans="1:16 16370:16371" x14ac:dyDescent="0.35">
      <c r="A283" s="18">
        <v>41852</v>
      </c>
      <c r="B283" s="18" t="s">
        <v>593</v>
      </c>
      <c r="C283" s="14" t="s">
        <v>87</v>
      </c>
      <c r="D283" s="15">
        <v>7</v>
      </c>
      <c r="E283" s="15"/>
      <c r="F283" s="15" t="s">
        <v>61</v>
      </c>
      <c r="G283" s="15">
        <v>1741</v>
      </c>
      <c r="H283" s="15" t="s">
        <v>88</v>
      </c>
      <c r="I283" s="16">
        <v>29630</v>
      </c>
      <c r="J283" s="15">
        <v>3</v>
      </c>
      <c r="K283" s="17" t="s">
        <v>89</v>
      </c>
      <c r="P283" s="2" t="str">
        <f t="shared" si="16"/>
        <v>Q7O5M3K1IZGXEVCTA</v>
      </c>
    </row>
    <row r="284" spans="1:16 16370:16371" x14ac:dyDescent="0.35">
      <c r="A284" s="18">
        <v>63074</v>
      </c>
      <c r="B284" s="18" t="s">
        <v>593</v>
      </c>
      <c r="C284" s="14" t="s">
        <v>90</v>
      </c>
      <c r="D284" s="15">
        <v>9</v>
      </c>
      <c r="E284" s="15"/>
      <c r="F284" s="15" t="s">
        <v>61</v>
      </c>
      <c r="G284" s="15">
        <v>2963</v>
      </c>
      <c r="H284" s="15" t="s">
        <v>68</v>
      </c>
      <c r="I284" s="16">
        <v>41852</v>
      </c>
      <c r="J284" s="15">
        <v>5</v>
      </c>
      <c r="K284" s="17" t="s">
        <v>91</v>
      </c>
      <c r="M284" s="2" t="str">
        <f>"2J0H"</f>
        <v/>
      </c>
      <c r="P284" s="2" t="str">
        <f t="shared" si="16"/>
        <v/>
      </c>
    </row>
    <row r="285" spans="1:16 16370:16371" x14ac:dyDescent="0.35">
      <c r="A285" s="18">
        <v>96307</v>
      </c>
      <c r="B285" s="18" t="s">
        <v>593</v>
      </c>
      <c r="C285" s="14" t="s">
        <v>92</v>
      </c>
      <c r="D285" s="15">
        <v>2</v>
      </c>
      <c r="E285" s="15"/>
      <c r="F285" s="15" t="s">
        <v>61</v>
      </c>
      <c r="G285" s="15">
        <v>5296</v>
      </c>
      <c r="H285" s="15" t="s">
        <v>88</v>
      </c>
      <c r="I285" s="16">
        <v>74185</v>
      </c>
      <c r="J285" s="15">
        <v>8</v>
      </c>
      <c r="K285" s="17" t="s">
        <v>93</v>
      </c>
      <c r="P285" s="2" t="str">
        <f t="shared" si="16"/>
        <v>R8P6N4L2J0HYFWDU</v>
      </c>
    </row>
    <row r="286" spans="1:16 16370:16371" x14ac:dyDescent="0.35">
      <c r="A286" s="18">
        <v>18529</v>
      </c>
      <c r="B286" s="18" t="s">
        <v>593</v>
      </c>
      <c r="C286" s="14" t="s">
        <v>94</v>
      </c>
      <c r="D286" s="15">
        <v>4</v>
      </c>
      <c r="E286" s="15"/>
      <c r="F286" s="15" t="s">
        <v>61</v>
      </c>
      <c r="G286" s="15">
        <v>7418</v>
      </c>
      <c r="H286" s="15" t="s">
        <v>68</v>
      </c>
      <c r="I286" s="16">
        <v>96307</v>
      </c>
      <c r="J286" s="15">
        <v>1</v>
      </c>
      <c r="K286" s="17" t="s">
        <v>95</v>
      </c>
      <c r="M286" s="2" t="str">
        <f>"3K1I"</f>
        <v/>
      </c>
      <c r="P286" s="2" t="str">
        <f t="shared" si="16"/>
        <v/>
      </c>
    </row>
    <row r="287" spans="1:16 16370:16371" x14ac:dyDescent="0.35">
      <c r="A287" s="18">
        <v>41852</v>
      </c>
      <c r="B287" s="18" t="s">
        <v>593</v>
      </c>
      <c r="C287" s="14" t="s">
        <v>96</v>
      </c>
      <c r="D287" s="15">
        <v>7</v>
      </c>
      <c r="E287" s="15"/>
      <c r="F287" s="15" t="s">
        <v>61</v>
      </c>
      <c r="G287" s="15">
        <v>1741</v>
      </c>
      <c r="H287" s="15" t="s">
        <v>68</v>
      </c>
      <c r="I287" s="16">
        <v>29630</v>
      </c>
      <c r="J287" s="15">
        <v>3</v>
      </c>
      <c r="K287" s="17" t="s">
        <v>97</v>
      </c>
      <c r="M287" s="2" t="str">
        <f>"S9Q7"</f>
        <v/>
      </c>
      <c r="P287" s="2" t="str">
        <f t="shared" si="16"/>
        <v/>
      </c>
    </row>
    <row r="288" spans="1:16 16370:16371" x14ac:dyDescent="0.35">
      <c r="A288" s="18">
        <v>74185</v>
      </c>
      <c r="B288" s="18" t="s">
        <v>593</v>
      </c>
      <c r="C288" s="14" t="s">
        <v>98</v>
      </c>
      <c r="D288" s="15">
        <v>1</v>
      </c>
      <c r="E288" s="15"/>
      <c r="F288" s="15" t="s">
        <v>61</v>
      </c>
      <c r="G288" s="15">
        <v>3074</v>
      </c>
      <c r="H288" s="15" t="s">
        <v>68</v>
      </c>
      <c r="I288" s="16">
        <v>52963</v>
      </c>
      <c r="J288" s="15">
        <v>6</v>
      </c>
      <c r="K288" s="17" t="s">
        <v>99</v>
      </c>
      <c r="M288" s="2" t="str">
        <f>"HYFW"</f>
        <v/>
      </c>
      <c r="P288" s="2" t="str">
        <f t="shared" ref="P288:P351" si="17">"UBS9"</f>
        <v/>
      </c>
    </row>
    <row r="289" spans="1:16" x14ac:dyDescent="0.35">
      <c r="A289" s="18">
        <v>17418</v>
      </c>
      <c r="B289" s="18" t="s">
        <v>593</v>
      </c>
      <c r="C289" s="14" t="s">
        <v>100</v>
      </c>
      <c r="D289" s="15">
        <v>3</v>
      </c>
      <c r="E289" s="15"/>
      <c r="F289" s="15" t="s">
        <v>61</v>
      </c>
      <c r="G289" s="15">
        <v>6307</v>
      </c>
      <c r="H289" s="15" t="s">
        <v>75</v>
      </c>
      <c r="I289" s="16">
        <v>85296</v>
      </c>
      <c r="J289" s="15">
        <v>9</v>
      </c>
      <c r="K289" s="17" t="s">
        <v>101</v>
      </c>
      <c r="L289" s="1" t="str">
        <f>"6N4L2J0HYFWDUBS9"</f>
        <v>6N4L2J0HYFWDUBS9</v>
      </c>
      <c r="M289" s="2" t="str">
        <f>"J0HYFWDUBS"</f>
        <v>J0HYFWDUBS</v>
      </c>
      <c r="N289" s="1" t="s">
        <v>102</v>
      </c>
      <c r="O289" s="1">
        <v>4</v>
      </c>
      <c r="P289" s="2" t="str">
        <f t="shared" si="17"/>
        <v>M3K1IZGX</v>
      </c>
    </row>
    <row r="290" spans="1:16" x14ac:dyDescent="0.35">
      <c r="A290" s="18">
        <v>63074</v>
      </c>
      <c r="B290" s="18" t="s">
        <v>593</v>
      </c>
      <c r="C290" s="14" t="s">
        <v>103</v>
      </c>
      <c r="D290" s="15">
        <v>9</v>
      </c>
      <c r="E290" s="15"/>
      <c r="F290" s="15" t="s">
        <v>61</v>
      </c>
      <c r="G290" s="15">
        <v>2963</v>
      </c>
      <c r="H290" s="15" t="s">
        <v>75</v>
      </c>
      <c r="I290" s="16">
        <v>41852</v>
      </c>
      <c r="J290" s="15">
        <v>5</v>
      </c>
      <c r="K290" s="17" t="s">
        <v>104</v>
      </c>
      <c r="P290" s="2" t="str">
        <f t="shared" si="17"/>
        <v>YFWDUBS9Q7O5M3K1</v>
      </c>
    </row>
    <row r="291" spans="1:16" x14ac:dyDescent="0.35">
      <c r="A291" s="18">
        <v>85296</v>
      </c>
      <c r="B291" s="18" t="s">
        <v>593</v>
      </c>
      <c r="C291" s="14" t="s">
        <v>105</v>
      </c>
      <c r="D291" s="15">
        <v>1</v>
      </c>
      <c r="E291" s="15"/>
      <c r="F291" s="15" t="s">
        <v>61</v>
      </c>
      <c r="G291" s="15">
        <v>4185</v>
      </c>
      <c r="H291" s="15" t="s">
        <v>75</v>
      </c>
      <c r="I291" s="16">
        <v>63074</v>
      </c>
      <c r="J291" s="15">
        <v>7</v>
      </c>
      <c r="K291" s="17" t="s">
        <v>106</v>
      </c>
      <c r="P291" s="2" t="str">
        <f t="shared" si="17"/>
        <v>AR8P6N4L2J0HYFWDU</v>
      </c>
    </row>
    <row r="292" spans="1:16" x14ac:dyDescent="0.35">
      <c r="A292" s="18">
        <v>17418</v>
      </c>
      <c r="B292" s="18" t="s">
        <v>593</v>
      </c>
      <c r="C292" s="14" t="s">
        <v>107</v>
      </c>
      <c r="D292" s="15">
        <v>3</v>
      </c>
      <c r="E292" s="15"/>
      <c r="F292" s="15" t="s">
        <v>61</v>
      </c>
      <c r="G292" s="15">
        <v>6307</v>
      </c>
      <c r="H292" s="15" t="s">
        <v>75</v>
      </c>
      <c r="I292" s="16">
        <v>85296</v>
      </c>
      <c r="J292" s="15">
        <v>9</v>
      </c>
      <c r="K292" s="17" t="s">
        <v>108</v>
      </c>
      <c r="P292" s="2" t="str">
        <f t="shared" si="17"/>
        <v>M3K1IZGXEVCTAR8P6</v>
      </c>
    </row>
    <row r="293" spans="1:16" x14ac:dyDescent="0.35">
      <c r="A293" s="18">
        <v>29630</v>
      </c>
      <c r="B293" s="18" t="s">
        <v>593</v>
      </c>
      <c r="C293" s="14" t="s">
        <v>109</v>
      </c>
      <c r="D293" s="15">
        <v>5</v>
      </c>
      <c r="E293" s="15"/>
      <c r="F293" s="15" t="s">
        <v>61</v>
      </c>
      <c r="G293" s="15">
        <v>8529</v>
      </c>
      <c r="H293" s="15" t="s">
        <v>68</v>
      </c>
      <c r="I293" s="16">
        <v>17418</v>
      </c>
      <c r="J293" s="15">
        <v>1</v>
      </c>
      <c r="K293" s="17" t="s">
        <v>110</v>
      </c>
      <c r="M293" s="2" t="str">
        <f>"YFWD"</f>
        <v/>
      </c>
      <c r="P293" s="2" t="str">
        <f t="shared" si="17"/>
        <v/>
      </c>
    </row>
    <row r="294" spans="1:16" x14ac:dyDescent="0.35">
      <c r="A294" s="18">
        <v>52963</v>
      </c>
      <c r="B294" s="18" t="s">
        <v>593</v>
      </c>
      <c r="C294" s="14" t="s">
        <v>111</v>
      </c>
      <c r="D294" s="15">
        <v>8</v>
      </c>
      <c r="E294" s="15"/>
      <c r="F294" s="15" t="s">
        <v>61</v>
      </c>
      <c r="G294" s="15">
        <v>1852</v>
      </c>
      <c r="H294" s="15" t="s">
        <v>68</v>
      </c>
      <c r="I294" s="16">
        <v>30741</v>
      </c>
      <c r="J294" s="15">
        <v>4</v>
      </c>
      <c r="K294" s="17" t="s">
        <v>112</v>
      </c>
      <c r="M294" s="2" t="str">
        <f>"N4L2"</f>
        <v/>
      </c>
      <c r="P294" s="2" t="str">
        <f t="shared" si="17"/>
        <v/>
      </c>
    </row>
    <row r="295" spans="1:16" x14ac:dyDescent="0.35">
      <c r="A295" s="18">
        <v>85296</v>
      </c>
      <c r="B295" s="18" t="s">
        <v>593</v>
      </c>
      <c r="C295" s="14" t="s">
        <v>113</v>
      </c>
      <c r="D295" s="15">
        <v>1</v>
      </c>
      <c r="E295" s="15"/>
      <c r="F295" s="15" t="s">
        <v>61</v>
      </c>
      <c r="G295" s="15">
        <v>4185</v>
      </c>
      <c r="H295" s="15" t="s">
        <v>114</v>
      </c>
      <c r="I295" s="16">
        <v>63074</v>
      </c>
      <c r="J295" s="15">
        <v>7</v>
      </c>
      <c r="K295" s="17" t="s">
        <v>115</v>
      </c>
      <c r="L295" s="1" t="str">
        <f>"CTAR8P6N4L2J0HYFWDUB"</f>
        <v>CTAR8P6N4L2J0HYFWDUB</v>
      </c>
      <c r="M295" s="2" t="str">
        <f>"P6N4L2J0HYFWDU"</f>
        <v>P6N4L2J0HYFWDU</v>
      </c>
      <c r="N295" s="1" t="s">
        <v>64</v>
      </c>
      <c r="O295" s="1">
        <v>2963</v>
      </c>
      <c r="P295" s="2" t="str">
        <f t="shared" si="17"/>
        <v>S9Q7O5M3K1IZGX</v>
      </c>
    </row>
    <row r="296" spans="1:16" x14ac:dyDescent="0.35">
      <c r="A296" s="18">
        <v>41852</v>
      </c>
      <c r="B296" s="18" t="s">
        <v>593</v>
      </c>
      <c r="C296" s="14" t="s">
        <v>116</v>
      </c>
      <c r="D296" s="15">
        <v>7</v>
      </c>
      <c r="E296" s="15"/>
      <c r="F296" s="15" t="s">
        <v>61</v>
      </c>
      <c r="G296" s="15">
        <v>1741</v>
      </c>
      <c r="H296" s="15" t="s">
        <v>114</v>
      </c>
      <c r="I296" s="16">
        <v>29630</v>
      </c>
      <c r="J296" s="15">
        <v>3</v>
      </c>
      <c r="K296" s="17" t="s">
        <v>117</v>
      </c>
      <c r="L296" s="1" t="str">
        <f>"4L2J0HYFWDUBS9Q7O5M3"</f>
        <v>4L2J0HYFWDUBS9Q7O5M3</v>
      </c>
      <c r="M296" s="2" t="str">
        <f>"HYFWDUBS9Q7O5M3K1"</f>
        <v>HYFWDUBS9Q7O5M3K1</v>
      </c>
      <c r="N296" s="1" t="s">
        <v>64</v>
      </c>
      <c r="O296" s="1">
        <v>8529</v>
      </c>
      <c r="P296" s="2" t="str">
        <f t="shared" si="17"/>
        <v>K1IZGXEVCTAR8P6N4</v>
      </c>
    </row>
    <row r="297" spans="1:16" x14ac:dyDescent="0.35">
      <c r="A297" s="18">
        <v>17418</v>
      </c>
      <c r="B297" s="18" t="s">
        <v>593</v>
      </c>
      <c r="C297" s="14" t="s">
        <v>118</v>
      </c>
      <c r="D297" s="15">
        <v>3</v>
      </c>
      <c r="E297" s="15"/>
      <c r="F297" s="15" t="s">
        <v>61</v>
      </c>
      <c r="G297" s="15">
        <v>6307</v>
      </c>
      <c r="H297" s="15" t="s">
        <v>114</v>
      </c>
      <c r="I297" s="16">
        <v>85296</v>
      </c>
      <c r="J297" s="15">
        <v>9</v>
      </c>
      <c r="K297" s="17" t="s">
        <v>119</v>
      </c>
      <c r="P297" s="2" t="str">
        <f t="shared" si="17"/>
        <v>WDUBS9Q7O5M3K1I</v>
      </c>
    </row>
    <row r="298" spans="1:16" x14ac:dyDescent="0.35">
      <c r="A298" s="18">
        <v>29630</v>
      </c>
      <c r="B298" s="18" t="s">
        <v>593</v>
      </c>
      <c r="C298" s="14" t="s">
        <v>120</v>
      </c>
      <c r="D298" s="15">
        <v>5</v>
      </c>
      <c r="E298" s="15"/>
      <c r="F298" s="15" t="s">
        <v>61</v>
      </c>
      <c r="G298" s="15">
        <v>8529</v>
      </c>
      <c r="H298" s="15" t="s">
        <v>114</v>
      </c>
      <c r="I298" s="16">
        <v>17418</v>
      </c>
      <c r="J298" s="15">
        <v>1</v>
      </c>
      <c r="K298" s="17" t="s">
        <v>121</v>
      </c>
      <c r="P298" s="2" t="str">
        <f t="shared" si="17"/>
        <v>8P6N4L2J0HYFWDUBS</v>
      </c>
    </row>
    <row r="299" spans="1:16" x14ac:dyDescent="0.35">
      <c r="A299" s="18">
        <v>41852</v>
      </c>
      <c r="B299" s="18" t="s">
        <v>593</v>
      </c>
      <c r="C299" s="14" t="s">
        <v>122</v>
      </c>
      <c r="D299" s="15">
        <v>7</v>
      </c>
      <c r="E299" s="15"/>
      <c r="F299" s="15" t="s">
        <v>61</v>
      </c>
      <c r="G299" s="15">
        <v>1741</v>
      </c>
      <c r="H299" s="15" t="s">
        <v>114</v>
      </c>
      <c r="I299" s="16">
        <v>29630</v>
      </c>
      <c r="J299" s="15">
        <v>3</v>
      </c>
      <c r="K299" s="17" t="s">
        <v>123</v>
      </c>
      <c r="L299" s="1" t="str">
        <f t="shared" ref="L299" si="18">"K1IZGXEVCTAR8P6N4"</f>
        <v>K1IZGXEVCTAR8P6N4</v>
      </c>
      <c r="M299" s="2" t="str">
        <f>"XEVCTAR8P6N"</f>
        <v>XEVCTAR8P6N</v>
      </c>
      <c r="N299" s="1" t="s">
        <v>102</v>
      </c>
      <c r="O299" s="1">
        <v>85</v>
      </c>
      <c r="P299" s="2" t="str">
        <f t="shared" si="17"/>
        <v>0HYFWDUBS</v>
      </c>
    </row>
    <row r="300" spans="1:16" x14ac:dyDescent="0.35">
      <c r="A300" s="18">
        <v>17418</v>
      </c>
      <c r="B300" s="18" t="s">
        <v>593</v>
      </c>
      <c r="C300" s="14" t="s">
        <v>124</v>
      </c>
      <c r="D300" s="15">
        <v>3</v>
      </c>
      <c r="E300" s="15"/>
      <c r="F300" s="15" t="s">
        <v>61</v>
      </c>
      <c r="G300" s="15">
        <v>6307</v>
      </c>
      <c r="H300" s="15" t="s">
        <v>68</v>
      </c>
      <c r="I300" s="16">
        <v>85296</v>
      </c>
      <c r="J300" s="15">
        <v>9</v>
      </c>
      <c r="K300" s="17" t="s">
        <v>125</v>
      </c>
      <c r="M300" s="2" t="str">
        <f>"CTAR"</f>
        <v/>
      </c>
      <c r="P300" s="2" t="str">
        <f t="shared" si="17"/>
        <v/>
      </c>
    </row>
    <row r="301" spans="1:16" x14ac:dyDescent="0.35">
      <c r="A301" s="18">
        <v>30741</v>
      </c>
      <c r="B301" s="18" t="s">
        <v>593</v>
      </c>
      <c r="C301" s="14" t="s">
        <v>126</v>
      </c>
      <c r="D301" s="15">
        <v>6</v>
      </c>
      <c r="E301" s="15"/>
      <c r="F301" s="15" t="s">
        <v>61</v>
      </c>
      <c r="G301" s="15">
        <v>9630</v>
      </c>
      <c r="H301" s="15" t="s">
        <v>114</v>
      </c>
      <c r="I301" s="16">
        <v>18529</v>
      </c>
      <c r="J301" s="15">
        <v>2</v>
      </c>
      <c r="K301" s="17" t="s">
        <v>127</v>
      </c>
      <c r="P301" s="2" t="str">
        <f t="shared" si="17"/>
        <v>1IZGXEVCTAR8P6N4L</v>
      </c>
    </row>
    <row r="302" spans="1:16" x14ac:dyDescent="0.35">
      <c r="A302" s="18">
        <v>52963</v>
      </c>
      <c r="B302" s="18" t="s">
        <v>593</v>
      </c>
      <c r="C302" s="14" t="s">
        <v>128</v>
      </c>
      <c r="D302" s="15">
        <v>8</v>
      </c>
      <c r="E302" s="15"/>
      <c r="F302" s="15" t="s">
        <v>61</v>
      </c>
      <c r="G302" s="15">
        <v>1852</v>
      </c>
      <c r="H302" s="15" t="s">
        <v>68</v>
      </c>
      <c r="I302" s="16">
        <v>30741</v>
      </c>
      <c r="J302" s="15">
        <v>4</v>
      </c>
      <c r="K302" s="17" t="s">
        <v>129</v>
      </c>
      <c r="M302" s="2" t="str">
        <f>"DUBS"</f>
        <v/>
      </c>
      <c r="P302" s="2" t="str">
        <f t="shared" si="17"/>
        <v/>
      </c>
    </row>
    <row r="303" spans="1:16" x14ac:dyDescent="0.35">
      <c r="A303" s="18">
        <v>85296</v>
      </c>
      <c r="B303" s="18" t="s">
        <v>593</v>
      </c>
      <c r="C303" s="14" t="s">
        <v>130</v>
      </c>
      <c r="D303" s="15">
        <v>1</v>
      </c>
      <c r="E303" s="15"/>
      <c r="F303" s="15" t="s">
        <v>61</v>
      </c>
      <c r="G303" s="15">
        <v>4185</v>
      </c>
      <c r="H303" s="15" t="s">
        <v>68</v>
      </c>
      <c r="I303" s="16">
        <v>63074</v>
      </c>
      <c r="J303" s="15">
        <v>7</v>
      </c>
      <c r="K303" s="17" t="s">
        <v>131</v>
      </c>
      <c r="M303" s="2" t="str">
        <f>"2J0H"</f>
        <v/>
      </c>
      <c r="P303" s="2" t="str">
        <f t="shared" si="17"/>
        <v/>
      </c>
    </row>
    <row r="304" spans="1:16" x14ac:dyDescent="0.35">
      <c r="A304" s="18">
        <v>18529</v>
      </c>
      <c r="B304" s="18" t="s">
        <v>593</v>
      </c>
      <c r="C304" s="14" t="s">
        <v>132</v>
      </c>
      <c r="D304" s="15">
        <v>4</v>
      </c>
      <c r="E304" s="15"/>
      <c r="F304" s="15" t="s">
        <v>61</v>
      </c>
      <c r="G304" s="15">
        <v>7418</v>
      </c>
      <c r="H304" s="15" t="s">
        <v>68</v>
      </c>
      <c r="I304" s="16">
        <v>96307</v>
      </c>
      <c r="J304" s="15">
        <v>1</v>
      </c>
      <c r="K304" s="17" t="s">
        <v>133</v>
      </c>
      <c r="M304" s="2" t="str">
        <f>"R8P6"</f>
        <v/>
      </c>
      <c r="P304" s="2" t="str">
        <f t="shared" si="17"/>
        <v/>
      </c>
    </row>
    <row r="305" spans="1:16" x14ac:dyDescent="0.35">
      <c r="A305" s="18">
        <v>41852</v>
      </c>
      <c r="B305" s="18" t="s">
        <v>593</v>
      </c>
      <c r="C305" s="14" t="s">
        <v>134</v>
      </c>
      <c r="D305" s="15">
        <v>7</v>
      </c>
      <c r="E305" s="15"/>
      <c r="F305" s="15" t="s">
        <v>61</v>
      </c>
      <c r="G305" s="15">
        <v>1741</v>
      </c>
      <c r="H305" s="15" t="s">
        <v>135</v>
      </c>
      <c r="I305" s="16">
        <v>29630</v>
      </c>
      <c r="J305" s="15">
        <v>3</v>
      </c>
      <c r="K305" s="17" t="s">
        <v>136</v>
      </c>
      <c r="L305" s="1" t="str">
        <f t="shared" ref="L305:L311" si="19">"GXEVCTAR8P6N4L2J0HYF"</f>
        <v>GXEVCTAR8P6N4L2J0HYF</v>
      </c>
      <c r="M305" s="2" t="str">
        <f>"TAR8P6N4L2J0HY"</f>
        <v>TAR8P6N4L2J0HY</v>
      </c>
      <c r="N305" s="1" t="s">
        <v>64</v>
      </c>
      <c r="O305" s="1">
        <v>8529</v>
      </c>
      <c r="P305" s="2" t="str">
        <f t="shared" si="17"/>
        <v>WDUBS9Q7O</v>
      </c>
    </row>
    <row r="306" spans="1:16" x14ac:dyDescent="0.35">
      <c r="A306" s="18">
        <v>17418</v>
      </c>
      <c r="B306" s="18" t="s">
        <v>593</v>
      </c>
      <c r="C306" s="14" t="s">
        <v>137</v>
      </c>
      <c r="D306" s="15">
        <v>3</v>
      </c>
      <c r="E306" s="15"/>
      <c r="F306" s="15" t="s">
        <v>61</v>
      </c>
      <c r="G306" s="15">
        <v>6307</v>
      </c>
      <c r="H306" s="15" t="s">
        <v>135</v>
      </c>
      <c r="I306" s="16">
        <v>85296</v>
      </c>
      <c r="J306" s="15">
        <v>9</v>
      </c>
      <c r="K306" s="17" t="s">
        <v>138</v>
      </c>
      <c r="L306" s="1" t="str">
        <f t="shared" si="19"/>
        <v>8P6N4L2J0HYFWDUBS9Q7</v>
      </c>
      <c r="M306" s="2" t="str">
        <f>"L2J0HYFWDUBS9Q7O5"</f>
        <v>L2J0HYFWDUBS9Q7O5</v>
      </c>
      <c r="N306" s="1" t="s">
        <v>64</v>
      </c>
      <c r="O306" s="1">
        <v>4185</v>
      </c>
      <c r="P306" s="2" t="str">
        <f t="shared" si="17"/>
        <v>O5M3K1IZGXEVCTAR8</v>
      </c>
    </row>
    <row r="307" spans="1:16" x14ac:dyDescent="0.35">
      <c r="A307" s="18">
        <v>63074</v>
      </c>
      <c r="B307" s="18" t="s">
        <v>593</v>
      </c>
      <c r="C307" s="14" t="s">
        <v>139</v>
      </c>
      <c r="D307" s="15">
        <v>9</v>
      </c>
      <c r="E307" s="15"/>
      <c r="F307" s="15" t="s">
        <v>61</v>
      </c>
      <c r="G307" s="15">
        <v>2963</v>
      </c>
      <c r="H307" s="15" t="s">
        <v>135</v>
      </c>
      <c r="I307" s="16">
        <v>41852</v>
      </c>
      <c r="J307" s="15">
        <v>5</v>
      </c>
      <c r="K307" s="17" t="s">
        <v>140</v>
      </c>
      <c r="L307" s="1" t="str">
        <f t="shared" si="19"/>
        <v>0HYFWDUBS9Q7O5M3K1IZ</v>
      </c>
      <c r="M307" s="2" t="str">
        <f>"DUBS9Q7O5M3K1IZGX"</f>
        <v>DUBS9Q7O5M3K1IZGX</v>
      </c>
      <c r="N307" s="1" t="s">
        <v>64</v>
      </c>
      <c r="O307" s="1">
        <v>1741</v>
      </c>
      <c r="P307" s="2" t="str">
        <f t="shared" si="17"/>
        <v>GXEVCTAR8P6N4L2J0</v>
      </c>
    </row>
    <row r="308" spans="1:16" x14ac:dyDescent="0.35">
      <c r="A308" s="18">
        <v>29630</v>
      </c>
      <c r="B308" s="18" t="s">
        <v>593</v>
      </c>
      <c r="C308" s="14" t="s">
        <v>141</v>
      </c>
      <c r="D308" s="15">
        <v>5</v>
      </c>
      <c r="E308" s="15"/>
      <c r="F308" s="15" t="s">
        <v>61</v>
      </c>
      <c r="G308" s="15">
        <v>8529</v>
      </c>
      <c r="H308" s="15" t="s">
        <v>142</v>
      </c>
      <c r="I308" s="16">
        <v>17418</v>
      </c>
      <c r="J308" s="15">
        <v>1</v>
      </c>
      <c r="K308" s="17" t="s">
        <v>143</v>
      </c>
      <c r="L308" s="1" t="str">
        <f t="shared" si="19"/>
        <v>S9Q7O5M3K1IZGXEVCTAR</v>
      </c>
      <c r="M308" s="2" t="str">
        <f>"5M3K1IZGXEVCTA"</f>
        <v>5M3K1IZGXEVCTA</v>
      </c>
      <c r="N308" s="1" t="s">
        <v>64</v>
      </c>
      <c r="O308" s="1">
        <v>6307</v>
      </c>
      <c r="P308" s="2" t="str">
        <f t="shared" si="17"/>
        <v>8P6N4L2J0</v>
      </c>
    </row>
    <row r="309" spans="1:16" x14ac:dyDescent="0.35">
      <c r="A309" s="18">
        <v>85296</v>
      </c>
      <c r="B309" s="18" t="s">
        <v>593</v>
      </c>
      <c r="C309" s="14" t="s">
        <v>144</v>
      </c>
      <c r="D309" s="15">
        <v>1</v>
      </c>
      <c r="E309" s="15"/>
      <c r="F309" s="15" t="s">
        <v>61</v>
      </c>
      <c r="G309" s="15">
        <v>4185</v>
      </c>
      <c r="H309" s="15" t="s">
        <v>142</v>
      </c>
      <c r="I309" s="16">
        <v>63074</v>
      </c>
      <c r="J309" s="15">
        <v>7</v>
      </c>
      <c r="K309" s="17" t="s">
        <v>145</v>
      </c>
      <c r="L309" s="1" t="str">
        <f t="shared" si="19"/>
        <v>K1IZGXEVCTAR8P6N4L2J</v>
      </c>
      <c r="M309" s="2" t="str">
        <f>"XEVCTAR8P6N4L2J0H"</f>
        <v>XEVCTAR8P6N4L2J0H</v>
      </c>
      <c r="N309" s="1" t="s">
        <v>64</v>
      </c>
      <c r="O309" s="1">
        <v>2963</v>
      </c>
      <c r="P309" s="2" t="str">
        <f t="shared" si="17"/>
        <v>0HYFWDUBS9Q7O5M3K</v>
      </c>
    </row>
    <row r="310" spans="1:16" x14ac:dyDescent="0.35">
      <c r="A310" s="18">
        <v>41852</v>
      </c>
      <c r="B310" s="18" t="s">
        <v>593</v>
      </c>
      <c r="C310" s="14" t="s">
        <v>146</v>
      </c>
      <c r="D310" s="15">
        <v>7</v>
      </c>
      <c r="E310" s="15"/>
      <c r="F310" s="15" t="s">
        <v>61</v>
      </c>
      <c r="G310" s="15">
        <v>1741</v>
      </c>
      <c r="H310" s="15" t="s">
        <v>142</v>
      </c>
      <c r="I310" s="16">
        <v>29630</v>
      </c>
      <c r="J310" s="15">
        <v>3</v>
      </c>
      <c r="K310" s="17" t="s">
        <v>147</v>
      </c>
      <c r="L310" s="1" t="str">
        <f t="shared" si="19"/>
        <v>CTAR8P6N4L2J0HYFWDUB</v>
      </c>
      <c r="M310" s="2" t="str">
        <f>"P6N4L2J0HYFWDUBS9"</f>
        <v>P6N4L2J0HYFWDUBS9</v>
      </c>
      <c r="N310" s="1" t="s">
        <v>64</v>
      </c>
      <c r="O310" s="1">
        <v>8529</v>
      </c>
      <c r="P310" s="2" t="str">
        <f t="shared" si="17"/>
        <v>S9Q7O5M3K1IZGXEVC</v>
      </c>
    </row>
    <row r="311" spans="1:16" x14ac:dyDescent="0.35">
      <c r="A311" s="18">
        <v>17418</v>
      </c>
      <c r="B311" s="18" t="s">
        <v>593</v>
      </c>
      <c r="C311" s="14" t="s">
        <v>148</v>
      </c>
      <c r="D311" s="15">
        <v>3</v>
      </c>
      <c r="E311" s="15"/>
      <c r="F311" s="15" t="s">
        <v>61</v>
      </c>
      <c r="G311" s="15">
        <v>6307</v>
      </c>
      <c r="H311" s="15" t="s">
        <v>142</v>
      </c>
      <c r="I311" s="16">
        <v>85296</v>
      </c>
      <c r="J311" s="15">
        <v>9</v>
      </c>
      <c r="K311" s="17" t="s">
        <v>149</v>
      </c>
      <c r="L311" s="1" t="str">
        <f t="shared" si="19"/>
        <v>4L2J0HYFWDUBS9Q7O</v>
      </c>
      <c r="M311" s="2" t="str">
        <f>"HYFWDUBS9Q7"</f>
        <v>HYFWDUBS9Q7</v>
      </c>
      <c r="N311" s="1" t="s">
        <v>102</v>
      </c>
      <c r="O311" s="1">
        <v>41</v>
      </c>
      <c r="P311" s="2" t="str">
        <f t="shared" si="17"/>
        <v>K1IZGXEVCTAR8P6</v>
      </c>
    </row>
    <row r="312" spans="1:16" x14ac:dyDescent="0.35">
      <c r="A312" s="18">
        <v>63074</v>
      </c>
      <c r="B312" s="18" t="s">
        <v>593</v>
      </c>
      <c r="C312" s="14" t="s">
        <v>150</v>
      </c>
      <c r="D312" s="15">
        <v>9</v>
      </c>
      <c r="E312" s="15"/>
      <c r="F312" s="15" t="s">
        <v>61</v>
      </c>
      <c r="G312" s="15">
        <v>2963</v>
      </c>
      <c r="H312" s="15" t="s">
        <v>68</v>
      </c>
      <c r="I312" s="16">
        <v>41852</v>
      </c>
      <c r="J312" s="15">
        <v>5</v>
      </c>
      <c r="K312" s="17" t="s">
        <v>151</v>
      </c>
      <c r="M312" s="2" t="str">
        <f>"WDUB"</f>
        <v/>
      </c>
      <c r="P312" s="2" t="str">
        <f t="shared" si="17"/>
        <v/>
      </c>
    </row>
    <row r="313" spans="1:16" x14ac:dyDescent="0.35">
      <c r="A313" s="18">
        <v>96307</v>
      </c>
      <c r="B313" s="18" t="s">
        <v>593</v>
      </c>
      <c r="C313" s="14" t="s">
        <v>152</v>
      </c>
      <c r="D313" s="15">
        <v>2</v>
      </c>
      <c r="E313" s="15"/>
      <c r="F313" s="15" t="s">
        <v>61</v>
      </c>
      <c r="G313" s="15">
        <v>5296</v>
      </c>
      <c r="H313" s="15" t="s">
        <v>68</v>
      </c>
      <c r="I313" s="16">
        <v>74185</v>
      </c>
      <c r="J313" s="15">
        <v>8</v>
      </c>
      <c r="K313" s="17" t="s">
        <v>153</v>
      </c>
      <c r="M313" s="2" t="str">
        <f>"L2J0"</f>
        <v/>
      </c>
      <c r="P313" s="2" t="str">
        <f t="shared" si="17"/>
        <v/>
      </c>
    </row>
    <row r="314" spans="1:16" x14ac:dyDescent="0.35">
      <c r="A314" s="18">
        <v>29630</v>
      </c>
      <c r="B314" s="18" t="s">
        <v>593</v>
      </c>
      <c r="C314" s="14" t="s">
        <v>154</v>
      </c>
      <c r="D314" s="15">
        <v>5</v>
      </c>
      <c r="E314" s="15"/>
      <c r="F314" s="15" t="s">
        <v>61</v>
      </c>
      <c r="G314" s="15">
        <v>8529</v>
      </c>
      <c r="H314" s="15" t="s">
        <v>155</v>
      </c>
      <c r="I314" s="16">
        <v>17418</v>
      </c>
      <c r="J314" s="15">
        <v>1</v>
      </c>
      <c r="K314" s="17" t="s">
        <v>156</v>
      </c>
      <c r="L314" s="1" t="str">
        <f>"AR8P6N4L2J0HYFWDUBS9"</f>
        <v>AR8P6N4L2J0HYFWDUBS9</v>
      </c>
      <c r="M314" s="2" t="str">
        <f>"N4L2J0HYFWDUBS"</f>
        <v>N4L2J0HYFWDUBS</v>
      </c>
      <c r="N314" s="1" t="s">
        <v>64</v>
      </c>
      <c r="O314" s="1">
        <v>6307</v>
      </c>
      <c r="P314" s="2" t="str">
        <f t="shared" si="17"/>
        <v>Q7O5M3K1IZGXEV</v>
      </c>
    </row>
    <row r="315" spans="1:16" x14ac:dyDescent="0.35">
      <c r="A315" s="18">
        <v>85296</v>
      </c>
      <c r="B315" s="18" t="s">
        <v>593</v>
      </c>
      <c r="C315" s="14" t="s">
        <v>157</v>
      </c>
      <c r="D315" s="15">
        <v>1</v>
      </c>
      <c r="E315" s="15"/>
      <c r="F315" s="15" t="s">
        <v>61</v>
      </c>
      <c r="G315" s="15">
        <v>4185</v>
      </c>
      <c r="H315" s="15" t="s">
        <v>155</v>
      </c>
      <c r="I315" s="16">
        <v>63074</v>
      </c>
      <c r="J315" s="15">
        <v>7</v>
      </c>
      <c r="K315" s="17" t="s">
        <v>158</v>
      </c>
      <c r="L315" s="1" t="str">
        <f>"2J0HYFWDUBS9Q7O5M"</f>
        <v>2J0HYFWDUBS9Q7O5M</v>
      </c>
      <c r="M315" s="2" t="str">
        <f>"FWDUBS9Q7O5"</f>
        <v>FWDUBS9Q7O5</v>
      </c>
      <c r="N315" s="1" t="s">
        <v>102</v>
      </c>
      <c r="O315" s="1">
        <v>29</v>
      </c>
      <c r="P315" s="2" t="str">
        <f t="shared" si="17"/>
        <v>IZGXEVCTAR8P6N4</v>
      </c>
    </row>
    <row r="316" spans="1:16" x14ac:dyDescent="0.35">
      <c r="A316" s="18">
        <v>41852</v>
      </c>
      <c r="B316" s="18" t="s">
        <v>593</v>
      </c>
      <c r="C316" s="14" t="s">
        <v>159</v>
      </c>
      <c r="D316" s="15">
        <v>7</v>
      </c>
      <c r="E316" s="15"/>
      <c r="F316" s="15" t="s">
        <v>61</v>
      </c>
      <c r="G316" s="15">
        <v>1741</v>
      </c>
      <c r="H316" s="15" t="s">
        <v>155</v>
      </c>
      <c r="I316" s="16">
        <v>29630</v>
      </c>
      <c r="J316" s="15">
        <v>3</v>
      </c>
      <c r="K316" s="17" t="s">
        <v>160</v>
      </c>
      <c r="L316" s="1" t="str">
        <f>"UBS9Q7O5M3K1IZGXEVCT"</f>
        <v>UBS9Q7O5M3K1IZGXEVCT</v>
      </c>
      <c r="M316" s="2" t="str">
        <f>"7O5M3K1IZGXEVCTA"</f>
        <v>7O5M3K1IZGXEVCTA</v>
      </c>
      <c r="N316" s="1" t="s">
        <v>64</v>
      </c>
      <c r="O316" s="1">
        <v>8529</v>
      </c>
      <c r="P316" s="2" t="str">
        <f t="shared" si="17"/>
        <v>AR8P6N4L2J0HYFWD</v>
      </c>
    </row>
    <row r="317" spans="1:16" x14ac:dyDescent="0.35">
      <c r="A317" s="18">
        <v>17418</v>
      </c>
      <c r="B317" s="18" t="s">
        <v>593</v>
      </c>
      <c r="C317" s="14" t="s">
        <v>161</v>
      </c>
      <c r="D317" s="15">
        <v>3</v>
      </c>
      <c r="E317" s="15"/>
      <c r="F317" s="15" t="s">
        <v>61</v>
      </c>
      <c r="G317" s="15">
        <v>6307</v>
      </c>
      <c r="H317" s="15" t="s">
        <v>155</v>
      </c>
      <c r="I317" s="16">
        <v>85296</v>
      </c>
      <c r="J317" s="15">
        <v>9</v>
      </c>
      <c r="K317" s="17" t="s">
        <v>162</v>
      </c>
      <c r="L317" s="1" t="str">
        <f>"M3K1IZGXEVCTAR8P6N4L"</f>
        <v>M3K1IZGXEVCTAR8P6N4L</v>
      </c>
      <c r="M317" s="2" t="str">
        <f>"ZGXEVCTAR8P6N4L"</f>
        <v>ZGXEVCTAR8P6N4L</v>
      </c>
      <c r="N317" s="1" t="s">
        <v>64</v>
      </c>
      <c r="O317" s="1">
        <v>4185</v>
      </c>
      <c r="P317" s="2" t="str">
        <f t="shared" si="17"/>
        <v>2J0HYFWDUBS9Q7O</v>
      </c>
    </row>
    <row r="318" spans="1:16" x14ac:dyDescent="0.35">
      <c r="A318" s="18">
        <v>63074</v>
      </c>
      <c r="B318" s="18" t="s">
        <v>593</v>
      </c>
      <c r="C318" s="14" t="s">
        <v>163</v>
      </c>
      <c r="D318" s="15">
        <v>9</v>
      </c>
      <c r="E318" s="15"/>
      <c r="F318" s="15" t="s">
        <v>61</v>
      </c>
      <c r="G318" s="15">
        <v>2963</v>
      </c>
      <c r="H318" s="15" t="s">
        <v>68</v>
      </c>
      <c r="I318" s="16">
        <v>41852</v>
      </c>
      <c r="J318" s="15">
        <v>5</v>
      </c>
      <c r="K318" s="17" t="s">
        <v>164</v>
      </c>
      <c r="P318" s="2">
        <f t="shared" si="17"/>
        <v>7</v>
      </c>
    </row>
    <row r="319" spans="1:16" x14ac:dyDescent="0.35">
      <c r="A319" s="18">
        <v>85296</v>
      </c>
      <c r="B319" s="18" t="s">
        <v>593</v>
      </c>
      <c r="C319" s="14" t="s">
        <v>165</v>
      </c>
      <c r="D319" s="15">
        <v>1</v>
      </c>
      <c r="E319" s="15"/>
      <c r="F319" s="15" t="s">
        <v>61</v>
      </c>
      <c r="G319" s="15">
        <v>4185</v>
      </c>
      <c r="H319" s="15" t="s">
        <v>68</v>
      </c>
      <c r="I319" s="16">
        <v>63074</v>
      </c>
      <c r="J319" s="15">
        <v>7</v>
      </c>
      <c r="K319" s="17" t="s">
        <v>166</v>
      </c>
      <c r="M319" s="2" t="str">
        <f>"Q7O5"</f>
        <v/>
      </c>
      <c r="P319" s="2" t="str">
        <f t="shared" si="17"/>
        <v/>
      </c>
    </row>
    <row r="320" spans="1:16" x14ac:dyDescent="0.35">
      <c r="A320" s="18">
        <v>18529</v>
      </c>
      <c r="B320" s="18" t="s">
        <v>593</v>
      </c>
      <c r="C320" s="14" t="s">
        <v>167</v>
      </c>
      <c r="D320" s="15">
        <v>4</v>
      </c>
      <c r="E320" s="15"/>
      <c r="F320" s="15" t="s">
        <v>61</v>
      </c>
      <c r="G320" s="15">
        <v>7418</v>
      </c>
      <c r="H320" s="15" t="s">
        <v>135</v>
      </c>
      <c r="I320" s="16">
        <v>96307</v>
      </c>
      <c r="J320" s="15">
        <v>1</v>
      </c>
      <c r="K320" s="17" t="s">
        <v>168</v>
      </c>
      <c r="L320" s="1" t="str">
        <f>"FWDUBS9Q7O5M3K1IZGXE"</f>
        <v>FWDUBS9Q7O5M3K1IZGXE</v>
      </c>
      <c r="M320" s="2" t="str">
        <f>"S9Q7O5M3K1IZGXEV"</f>
        <v>S9Q7O5M3K1IZGXEV</v>
      </c>
      <c r="N320" s="1" t="s">
        <v>64</v>
      </c>
      <c r="O320" s="1">
        <v>5296</v>
      </c>
      <c r="P320" s="2" t="str">
        <f t="shared" si="17"/>
        <v>VCTAR8P6N4L2J0HYF</v>
      </c>
    </row>
    <row r="321" spans="1:16" x14ac:dyDescent="0.35">
      <c r="A321" s="18">
        <v>74185</v>
      </c>
      <c r="B321" s="18" t="s">
        <v>593</v>
      </c>
      <c r="C321" s="14" t="s">
        <v>169</v>
      </c>
      <c r="D321" s="15">
        <v>1</v>
      </c>
      <c r="E321" s="15"/>
      <c r="F321" s="15" t="s">
        <v>61</v>
      </c>
      <c r="G321" s="15">
        <v>3074</v>
      </c>
      <c r="H321" s="15" t="s">
        <v>170</v>
      </c>
      <c r="I321" s="16">
        <v>52963</v>
      </c>
      <c r="J321" s="15">
        <v>6</v>
      </c>
      <c r="K321" s="17" t="s">
        <v>171</v>
      </c>
      <c r="L321" s="1" t="str">
        <f>"7O5M3K1IZGXEVCTAR8P6"</f>
        <v>7O5M3K1IZGXEVCTAR8P6</v>
      </c>
      <c r="M321" s="2" t="str">
        <f>"K1IZGXEVCTAR8P6N4L"</f>
        <v>K1IZGXEVCTAR8P6N4L</v>
      </c>
      <c r="N321" s="1" t="s">
        <v>64</v>
      </c>
      <c r="O321" s="1">
        <v>1852</v>
      </c>
      <c r="P321" s="2" t="str">
        <f t="shared" si="17"/>
        <v>N4L2J0HYFWDUBS9Q7O</v>
      </c>
    </row>
    <row r="322" spans="1:16" x14ac:dyDescent="0.35">
      <c r="A322" s="18">
        <v>30741</v>
      </c>
      <c r="B322" s="18" t="s">
        <v>593</v>
      </c>
      <c r="C322" s="14" t="s">
        <v>172</v>
      </c>
      <c r="D322" s="15">
        <v>6</v>
      </c>
      <c r="E322" s="15"/>
      <c r="F322" s="15" t="s">
        <v>61</v>
      </c>
      <c r="G322" s="15">
        <v>9630</v>
      </c>
      <c r="H322" s="15" t="s">
        <v>170</v>
      </c>
      <c r="I322" s="16">
        <v>18529</v>
      </c>
      <c r="J322" s="15">
        <v>2</v>
      </c>
      <c r="K322" s="17" t="s">
        <v>173</v>
      </c>
      <c r="L322" s="1" t="str">
        <f t="shared" ref="L322:L325" si="20">"ZGXEVCTAR8P6N4L2J0HY"</f>
        <v>ZGXEVCTAR8P6N4L2J0HY</v>
      </c>
      <c r="M322" s="2" t="str">
        <f>"CTAR8P6N4L2J0HYF"</f>
        <v>CTAR8P6N4L2J0HYF</v>
      </c>
      <c r="N322" s="1" t="s">
        <v>64</v>
      </c>
      <c r="O322" s="1">
        <v>7418</v>
      </c>
      <c r="P322" s="2" t="str">
        <f t="shared" si="17"/>
        <v>FWDUBS9Q7O5M3K1I</v>
      </c>
    </row>
    <row r="323" spans="1:16" x14ac:dyDescent="0.35">
      <c r="A323" s="18">
        <v>96307</v>
      </c>
      <c r="B323" s="18" t="s">
        <v>593</v>
      </c>
      <c r="C323" s="14" t="s">
        <v>174</v>
      </c>
      <c r="D323" s="15">
        <v>2</v>
      </c>
      <c r="E323" s="15"/>
      <c r="F323" s="15" t="s">
        <v>61</v>
      </c>
      <c r="G323" s="15">
        <v>5296</v>
      </c>
      <c r="H323" s="15" t="s">
        <v>170</v>
      </c>
      <c r="I323" s="16">
        <v>74185</v>
      </c>
      <c r="J323" s="15">
        <v>8</v>
      </c>
      <c r="K323" s="17" t="s">
        <v>175</v>
      </c>
      <c r="L323" s="1" t="str">
        <f t="shared" si="20"/>
        <v>R8P6N4L2J0HYFWDUBS9Q</v>
      </c>
      <c r="M323" s="2" t="str">
        <f>"4L2J0HYFWDUBS9Q7O"</f>
        <v>4L2J0HYFWDUBS9Q7O</v>
      </c>
      <c r="N323" s="1" t="s">
        <v>64</v>
      </c>
      <c r="O323" s="1">
        <v>3074</v>
      </c>
      <c r="P323" s="2" t="str">
        <f t="shared" si="17"/>
        <v>7O5M3K1IZGXEVCTAR</v>
      </c>
    </row>
    <row r="324" spans="1:16" x14ac:dyDescent="0.35">
      <c r="A324" s="18">
        <v>52963</v>
      </c>
      <c r="B324" s="18" t="s">
        <v>593</v>
      </c>
      <c r="C324" s="14" t="s">
        <v>176</v>
      </c>
      <c r="D324" s="15">
        <v>8</v>
      </c>
      <c r="E324" s="15"/>
      <c r="F324" s="15" t="s">
        <v>61</v>
      </c>
      <c r="G324" s="15">
        <v>1852</v>
      </c>
      <c r="H324" s="15" t="s">
        <v>142</v>
      </c>
      <c r="I324" s="16">
        <v>30741</v>
      </c>
      <c r="J324" s="15">
        <v>4</v>
      </c>
      <c r="K324" s="17" t="s">
        <v>177</v>
      </c>
      <c r="L324" s="1" t="str">
        <f t="shared" si="20"/>
        <v>J0HYFWDUBS9Q7O5M3K1I</v>
      </c>
      <c r="M324" s="2" t="str">
        <f>"WDUBS9Q7O5M3K1IZG"</f>
        <v>WDUBS9Q7O5M3K1IZG</v>
      </c>
      <c r="N324" s="1" t="s">
        <v>64</v>
      </c>
      <c r="O324" s="1">
        <v>9630</v>
      </c>
      <c r="P324" s="2" t="str">
        <f t="shared" si="17"/>
        <v>ZGXEVCTAR8P6N4L2J</v>
      </c>
    </row>
    <row r="325" spans="1:16" x14ac:dyDescent="0.35">
      <c r="A325" s="18">
        <v>18529</v>
      </c>
      <c r="B325" s="18" t="s">
        <v>593</v>
      </c>
      <c r="C325" s="14" t="s">
        <v>178</v>
      </c>
      <c r="D325" s="15">
        <v>4</v>
      </c>
      <c r="E325" s="15"/>
      <c r="F325" s="15" t="s">
        <v>61</v>
      </c>
      <c r="G325" s="15">
        <v>7418</v>
      </c>
      <c r="H325" s="15" t="s">
        <v>170</v>
      </c>
      <c r="I325" s="16">
        <v>96307</v>
      </c>
      <c r="J325" s="15">
        <v>1</v>
      </c>
      <c r="K325" s="17" t="s">
        <v>179</v>
      </c>
      <c r="L325" s="1" t="str">
        <f t="shared" si="20"/>
        <v>BS9Q7O5M3K1IZGXEVCTA</v>
      </c>
      <c r="M325" s="2" t="str">
        <f>"O5M3K1IZGXEVCTAR8"</f>
        <v>O5M3K1IZGXEVCTAR8</v>
      </c>
      <c r="N325" s="1" t="s">
        <v>64</v>
      </c>
      <c r="O325" s="1">
        <v>5296</v>
      </c>
      <c r="P325" s="2" t="str">
        <f t="shared" si="17"/>
        <v>R8P6N4L2J0HYFWDUB</v>
      </c>
    </row>
    <row r="326" spans="1:16" x14ac:dyDescent="0.35">
      <c r="A326" s="18">
        <v>74185</v>
      </c>
      <c r="B326" s="18" t="s">
        <v>593</v>
      </c>
      <c r="C326" s="14" t="s">
        <v>180</v>
      </c>
      <c r="D326" s="15">
        <v>1</v>
      </c>
      <c r="E326" s="15"/>
      <c r="F326" s="15" t="s">
        <v>61</v>
      </c>
      <c r="G326" s="15">
        <v>3074</v>
      </c>
      <c r="H326" s="15" t="s">
        <v>68</v>
      </c>
      <c r="I326" s="16">
        <v>52963</v>
      </c>
      <c r="J326" s="15">
        <v>6</v>
      </c>
      <c r="K326" s="17" t="s">
        <v>181</v>
      </c>
      <c r="M326" s="2" t="str">
        <f>"3K1I"</f>
        <v/>
      </c>
      <c r="P326" s="2" t="str">
        <f t="shared" si="17"/>
        <v/>
      </c>
    </row>
    <row r="327" spans="1:16" x14ac:dyDescent="0.35">
      <c r="A327" s="18">
        <v>17418</v>
      </c>
      <c r="B327" s="18" t="s">
        <v>593</v>
      </c>
      <c r="C327" s="14" t="s">
        <v>182</v>
      </c>
      <c r="D327" s="15">
        <v>3</v>
      </c>
      <c r="E327" s="15"/>
      <c r="F327" s="15" t="s">
        <v>61</v>
      </c>
      <c r="G327" s="15">
        <v>6307</v>
      </c>
      <c r="H327" s="15" t="s">
        <v>68</v>
      </c>
      <c r="I327" s="16">
        <v>85296</v>
      </c>
      <c r="J327" s="15">
        <v>9</v>
      </c>
      <c r="K327" s="17" t="s">
        <v>183</v>
      </c>
      <c r="M327" s="2" t="str">
        <f>"S9Q7"</f>
        <v/>
      </c>
      <c r="P327" s="2" t="str">
        <f t="shared" si="17"/>
        <v/>
      </c>
    </row>
    <row r="328" spans="1:16" x14ac:dyDescent="0.35">
      <c r="A328" s="18">
        <v>30741</v>
      </c>
      <c r="B328" s="18" t="s">
        <v>593</v>
      </c>
      <c r="C328" s="14" t="s">
        <v>184</v>
      </c>
      <c r="D328" s="15">
        <v>6</v>
      </c>
      <c r="E328" s="15"/>
      <c r="F328" s="15" t="s">
        <v>61</v>
      </c>
      <c r="G328" s="15">
        <v>9630</v>
      </c>
      <c r="H328" s="15" t="s">
        <v>185</v>
      </c>
      <c r="I328" s="16">
        <v>18529</v>
      </c>
      <c r="J328" s="15">
        <v>2</v>
      </c>
      <c r="K328" s="17" t="s">
        <v>186</v>
      </c>
      <c r="L328" s="1" t="str">
        <f>"HYFWDUBS9Q7O5M3K1IZG"</f>
        <v>HYFWDUBS9Q7O5M3K1IZG</v>
      </c>
      <c r="M328" s="2" t="str">
        <f>"UBS9Q7O5M3K1IZG"</f>
        <v>UBS9Q7O5M3K1IZG</v>
      </c>
      <c r="N328" s="1" t="s">
        <v>64</v>
      </c>
      <c r="O328" s="1">
        <v>7418</v>
      </c>
      <c r="P328" s="2" t="str">
        <f t="shared" si="17"/>
        <v>XEVCTAR8P6N4L2J</v>
      </c>
    </row>
    <row r="329" spans="1:16" x14ac:dyDescent="0.35">
      <c r="A329" s="18">
        <v>96307</v>
      </c>
      <c r="B329" s="18" t="s">
        <v>593</v>
      </c>
      <c r="C329" s="14" t="s">
        <v>187</v>
      </c>
      <c r="D329" s="15">
        <v>2</v>
      </c>
      <c r="E329" s="15"/>
      <c r="F329" s="15" t="s">
        <v>61</v>
      </c>
      <c r="G329" s="15">
        <v>5296</v>
      </c>
      <c r="H329" s="15" t="s">
        <v>185</v>
      </c>
      <c r="I329" s="16">
        <v>74185</v>
      </c>
      <c r="J329" s="15">
        <v>8</v>
      </c>
      <c r="K329" s="17" t="s">
        <v>188</v>
      </c>
      <c r="L329" s="1" t="str">
        <f t="shared" ref="L329:L331" si="21">"9Q7O5M3K1IZGXEVCTAR8"</f>
        <v>9Q7O5M3K1IZGXEVCTAR8</v>
      </c>
      <c r="M329" s="2" t="str">
        <f>"M3K1IZGXEVCTAR8P6"</f>
        <v>M3K1IZGXEVCTAR8P6</v>
      </c>
      <c r="N329" s="1" t="s">
        <v>64</v>
      </c>
      <c r="O329" s="1">
        <v>3074</v>
      </c>
      <c r="P329" s="2" t="str">
        <f t="shared" si="17"/>
        <v>P6N4L2J0HYFWDUBS9</v>
      </c>
    </row>
    <row r="330" spans="1:16" x14ac:dyDescent="0.35">
      <c r="A330" s="18">
        <v>52963</v>
      </c>
      <c r="B330" s="18" t="s">
        <v>593</v>
      </c>
      <c r="C330" s="14" t="s">
        <v>189</v>
      </c>
      <c r="D330" s="15">
        <v>8</v>
      </c>
      <c r="E330" s="15"/>
      <c r="F330" s="15" t="s">
        <v>61</v>
      </c>
      <c r="G330" s="15">
        <v>1852</v>
      </c>
      <c r="H330" s="15" t="s">
        <v>185</v>
      </c>
      <c r="I330" s="16">
        <v>30741</v>
      </c>
      <c r="J330" s="15">
        <v>4</v>
      </c>
      <c r="K330" s="17" t="s">
        <v>190</v>
      </c>
      <c r="L330" s="1" t="str">
        <f t="shared" si="21"/>
        <v>1IZGXEVCTAR8P6N4L2J0</v>
      </c>
      <c r="M330" s="2" t="str">
        <f>"EVCTAR8P6N4L2J0HY"</f>
        <v>EVCTAR8P6N4L2J0HY</v>
      </c>
      <c r="N330" s="1" t="s">
        <v>64</v>
      </c>
      <c r="O330" s="1">
        <v>9630</v>
      </c>
      <c r="P330" s="2" t="str">
        <f t="shared" si="17"/>
        <v>HYFWDUBS9Q7O5M3K1</v>
      </c>
    </row>
    <row r="331" spans="1:16" x14ac:dyDescent="0.35">
      <c r="A331" s="18">
        <v>18529</v>
      </c>
      <c r="B331" s="18" t="s">
        <v>593</v>
      </c>
      <c r="C331" s="14" t="s">
        <v>191</v>
      </c>
      <c r="D331" s="15">
        <v>4</v>
      </c>
      <c r="E331" s="15"/>
      <c r="F331" s="15" t="s">
        <v>61</v>
      </c>
      <c r="G331" s="15">
        <v>7418</v>
      </c>
      <c r="H331" s="15" t="s">
        <v>185</v>
      </c>
      <c r="I331" s="16">
        <v>96307</v>
      </c>
      <c r="J331" s="15">
        <v>1</v>
      </c>
      <c r="K331" s="17" t="s">
        <v>192</v>
      </c>
      <c r="L331" s="1" t="str">
        <f t="shared" si="21"/>
        <v>TAR8P6N4L2J0HYFWDUBS</v>
      </c>
      <c r="M331" s="2" t="str">
        <f>"6N4L2J0HYFWDUBS"</f>
        <v>6N4L2J0HYFWDUBS</v>
      </c>
      <c r="N331" s="1" t="s">
        <v>64</v>
      </c>
      <c r="O331" s="1">
        <v>5296</v>
      </c>
      <c r="P331" s="2" t="str">
        <f t="shared" si="17"/>
        <v>9Q7O5M3K1IZGXEV</v>
      </c>
    </row>
    <row r="332" spans="1:16" x14ac:dyDescent="0.35">
      <c r="A332" s="18">
        <v>74185</v>
      </c>
      <c r="B332" s="18" t="s">
        <v>593</v>
      </c>
      <c r="C332" s="14" t="s">
        <v>193</v>
      </c>
      <c r="D332" s="15">
        <v>1</v>
      </c>
      <c r="E332" s="15"/>
      <c r="F332" s="15" t="s">
        <v>61</v>
      </c>
      <c r="G332" s="15">
        <v>3074</v>
      </c>
      <c r="H332" s="15" t="s">
        <v>68</v>
      </c>
      <c r="I332" s="16">
        <v>52963</v>
      </c>
      <c r="J332" s="15">
        <v>6</v>
      </c>
      <c r="K332" s="17" t="s">
        <v>194</v>
      </c>
      <c r="M332" s="2" t="str">
        <f>"L2J0"</f>
        <v/>
      </c>
      <c r="P332" s="2" t="str">
        <f t="shared" si="17"/>
        <v/>
      </c>
    </row>
    <row r="333" spans="1:16" x14ac:dyDescent="0.35">
      <c r="A333" s="18">
        <v>17418</v>
      </c>
      <c r="B333" s="18" t="s">
        <v>593</v>
      </c>
      <c r="C333" s="14" t="s">
        <v>195</v>
      </c>
      <c r="D333" s="15">
        <v>3</v>
      </c>
      <c r="E333" s="15"/>
      <c r="F333" s="15" t="s">
        <v>61</v>
      </c>
      <c r="G333" s="15">
        <v>6307</v>
      </c>
      <c r="H333" s="15" t="s">
        <v>185</v>
      </c>
      <c r="I333" s="16">
        <v>85296</v>
      </c>
      <c r="J333" s="15">
        <v>9</v>
      </c>
      <c r="K333" s="17" t="s">
        <v>196</v>
      </c>
      <c r="L333" s="1" t="str">
        <f t="shared" ref="L333" si="22">"AR8P6N4L2J0HYFWDUBS9"</f>
        <v>AR8P6N4L2J0HYFWDUBS9</v>
      </c>
      <c r="M333" s="2" t="str">
        <f>"N4L2J0HYFWDUBS9Q7"</f>
        <v>N4L2J0HYFWDUBS9Q7</v>
      </c>
      <c r="N333" s="1" t="s">
        <v>64</v>
      </c>
      <c r="O333" s="1">
        <v>4185</v>
      </c>
      <c r="P333" s="2" t="str">
        <f t="shared" si="17"/>
        <v>Q7O5M3K1IZGXEVCTA</v>
      </c>
    </row>
    <row r="334" spans="1:16" x14ac:dyDescent="0.35">
      <c r="A334" s="18">
        <v>63074</v>
      </c>
      <c r="B334" s="18" t="s">
        <v>593</v>
      </c>
      <c r="C334" s="14" t="s">
        <v>197</v>
      </c>
      <c r="D334" s="15">
        <v>9</v>
      </c>
      <c r="E334" s="15"/>
      <c r="F334" s="15" t="s">
        <v>61</v>
      </c>
      <c r="G334" s="15">
        <v>2963</v>
      </c>
      <c r="H334" s="15" t="s">
        <v>68</v>
      </c>
      <c r="I334" s="16">
        <v>41852</v>
      </c>
      <c r="J334" s="15">
        <v>5</v>
      </c>
      <c r="K334" s="17" t="s">
        <v>198</v>
      </c>
      <c r="M334" s="2" t="str">
        <f>"2J0H"</f>
        <v/>
      </c>
      <c r="P334" s="2" t="str">
        <f t="shared" si="17"/>
        <v/>
      </c>
    </row>
    <row r="335" spans="1:16" x14ac:dyDescent="0.35">
      <c r="A335" s="18">
        <v>96307</v>
      </c>
      <c r="B335" s="18" t="s">
        <v>593</v>
      </c>
      <c r="C335" s="14" t="s">
        <v>199</v>
      </c>
      <c r="D335" s="15">
        <v>2</v>
      </c>
      <c r="E335" s="15"/>
      <c r="F335" s="15" t="s">
        <v>61</v>
      </c>
      <c r="G335" s="15">
        <v>5296</v>
      </c>
      <c r="H335" s="15" t="s">
        <v>185</v>
      </c>
      <c r="I335" s="16">
        <v>74185</v>
      </c>
      <c r="J335" s="15">
        <v>8</v>
      </c>
      <c r="K335" s="17" t="s">
        <v>200</v>
      </c>
      <c r="L335" s="1" t="str">
        <f>"R8P6N4L2J0HYFWDUBS9Q"</f>
        <v>R8P6N4L2J0HYFWDUBS9Q</v>
      </c>
      <c r="M335" s="2" t="str">
        <f>"4L2J0HYFWDUBS9Q7O5"</f>
        <v>4L2J0HYFWDUBS9Q7O5</v>
      </c>
      <c r="N335" s="1" t="s">
        <v>64</v>
      </c>
      <c r="O335" s="1">
        <v>3074</v>
      </c>
      <c r="P335" s="2" t="str">
        <f t="shared" si="17"/>
        <v>7O5M3K1IZGXEVCTAR8</v>
      </c>
    </row>
    <row r="336" spans="1:16" x14ac:dyDescent="0.35">
      <c r="A336" s="18">
        <v>52963</v>
      </c>
      <c r="B336" s="18" t="s">
        <v>593</v>
      </c>
      <c r="C336" s="14" t="s">
        <v>201</v>
      </c>
      <c r="D336" s="15">
        <v>8</v>
      </c>
      <c r="E336" s="15"/>
      <c r="F336" s="15" t="s">
        <v>61</v>
      </c>
      <c r="G336" s="15">
        <v>1852</v>
      </c>
      <c r="H336" s="15" t="s">
        <v>185</v>
      </c>
      <c r="I336" s="16">
        <v>30741</v>
      </c>
      <c r="J336" s="15">
        <v>4</v>
      </c>
      <c r="K336" s="17" t="s">
        <v>202</v>
      </c>
      <c r="L336" s="1" t="str">
        <f t="shared" ref="L336:L341" si="23">"J0HYFWDUBS9Q7O5M3K1I"</f>
        <v>J0HYFWDUBS9Q7O5M3K1I</v>
      </c>
      <c r="M336" s="2" t="str">
        <f>"WDUBS9Q7O5M3K1IZG"</f>
        <v>WDUBS9Q7O5M3K1IZG</v>
      </c>
      <c r="N336" s="1" t="s">
        <v>64</v>
      </c>
      <c r="O336" s="1">
        <v>9630</v>
      </c>
      <c r="P336" s="2" t="str">
        <f t="shared" si="17"/>
        <v>ZGXEVCTAR8P6N4L2J</v>
      </c>
    </row>
    <row r="337" spans="1:16" x14ac:dyDescent="0.35">
      <c r="A337" s="18">
        <v>18529</v>
      </c>
      <c r="B337" s="18" t="s">
        <v>593</v>
      </c>
      <c r="C337" s="14" t="s">
        <v>203</v>
      </c>
      <c r="D337" s="15">
        <v>4</v>
      </c>
      <c r="E337" s="15"/>
      <c r="F337" s="15" t="s">
        <v>61</v>
      </c>
      <c r="G337" s="15">
        <v>7418</v>
      </c>
      <c r="H337" s="15" t="s">
        <v>185</v>
      </c>
      <c r="I337" s="16">
        <v>96307</v>
      </c>
      <c r="J337" s="15">
        <v>1</v>
      </c>
      <c r="K337" s="17" t="s">
        <v>204</v>
      </c>
      <c r="L337" s="1" t="str">
        <f t="shared" si="23"/>
        <v>BS9Q7O5M3K1IZGXEVCTA</v>
      </c>
      <c r="M337" s="2" t="str">
        <f>"O5M3K1IZGXEVCTAR8"</f>
        <v>O5M3K1IZGXEVCTAR8</v>
      </c>
      <c r="N337" s="1" t="s">
        <v>64</v>
      </c>
      <c r="O337" s="1">
        <v>5296</v>
      </c>
      <c r="P337" s="2" t="str">
        <f t="shared" si="17"/>
        <v>R8P6N4L2J0HYFWDUB</v>
      </c>
    </row>
    <row r="338" spans="1:16" x14ac:dyDescent="0.35">
      <c r="A338" s="18">
        <v>74185</v>
      </c>
      <c r="B338" s="18" t="s">
        <v>593</v>
      </c>
      <c r="C338" s="14" t="s">
        <v>205</v>
      </c>
      <c r="D338" s="15">
        <v>1</v>
      </c>
      <c r="E338" s="15"/>
      <c r="F338" s="15" t="s">
        <v>61</v>
      </c>
      <c r="G338" s="15">
        <v>3074</v>
      </c>
      <c r="H338" s="15" t="s">
        <v>185</v>
      </c>
      <c r="I338" s="16">
        <v>52963</v>
      </c>
      <c r="J338" s="15">
        <v>6</v>
      </c>
      <c r="K338" s="17" t="s">
        <v>206</v>
      </c>
      <c r="L338" s="1" t="str">
        <f t="shared" si="23"/>
        <v>3K1IZGXEVCTAR8P6N4L2</v>
      </c>
      <c r="M338" s="2" t="str">
        <f>"GXEVCTAR8P6N4L2J0"</f>
        <v>GXEVCTAR8P6N4L2J0</v>
      </c>
      <c r="N338" s="1" t="s">
        <v>64</v>
      </c>
      <c r="O338" s="1">
        <v>1852</v>
      </c>
      <c r="P338" s="2" t="str">
        <f t="shared" si="17"/>
        <v>J0HYFWDUBS9Q7O5M3</v>
      </c>
    </row>
    <row r="339" spans="1:16" x14ac:dyDescent="0.35">
      <c r="A339" s="18">
        <v>30741</v>
      </c>
      <c r="B339" s="18" t="s">
        <v>593</v>
      </c>
      <c r="C339" s="14" t="s">
        <v>207</v>
      </c>
      <c r="D339" s="15">
        <v>6</v>
      </c>
      <c r="E339" s="15"/>
      <c r="F339" s="15" t="s">
        <v>61</v>
      </c>
      <c r="G339" s="15">
        <v>9630</v>
      </c>
      <c r="H339" s="15" t="s">
        <v>170</v>
      </c>
      <c r="I339" s="16">
        <v>18529</v>
      </c>
      <c r="J339" s="15">
        <v>2</v>
      </c>
      <c r="K339" s="17" t="s">
        <v>208</v>
      </c>
      <c r="L339" s="1" t="str">
        <f t="shared" si="23"/>
        <v>VCTAR8P6N4L2J0HYF</v>
      </c>
      <c r="M339" s="2" t="str">
        <f>"8P6N4L2J0HY"</f>
        <v>8P6N4L2J0HY</v>
      </c>
      <c r="N339" s="1" t="s">
        <v>102</v>
      </c>
      <c r="O339" s="1">
        <v>74</v>
      </c>
      <c r="P339" s="2" t="str">
        <f t="shared" si="17"/>
        <v>BS9Q7O5M3</v>
      </c>
    </row>
    <row r="340" spans="1:16" x14ac:dyDescent="0.35">
      <c r="A340" s="18">
        <v>96307</v>
      </c>
      <c r="B340" s="18" t="s">
        <v>593</v>
      </c>
      <c r="C340" s="14" t="s">
        <v>209</v>
      </c>
      <c r="D340" s="15">
        <v>2</v>
      </c>
      <c r="E340" s="15"/>
      <c r="F340" s="15" t="s">
        <v>61</v>
      </c>
      <c r="G340" s="15">
        <v>5296</v>
      </c>
      <c r="H340" s="15" t="s">
        <v>170</v>
      </c>
      <c r="I340" s="16">
        <v>74185</v>
      </c>
      <c r="J340" s="15">
        <v>8</v>
      </c>
      <c r="K340" s="17" t="s">
        <v>210</v>
      </c>
      <c r="L340" s="1" t="str">
        <f t="shared" si="23"/>
        <v>N4L2J0HYFWDUBS9Q7O5M</v>
      </c>
      <c r="M340" s="2" t="str">
        <f>"0HYFWDUBS9Q7O5M3K"</f>
        <v>0HYFWDUBS9Q7O5M3K</v>
      </c>
      <c r="N340" s="1" t="s">
        <v>64</v>
      </c>
      <c r="O340" s="1">
        <v>3074</v>
      </c>
      <c r="P340" s="2" t="str">
        <f t="shared" si="17"/>
        <v>3K1IZGXEVCTAR8P6N</v>
      </c>
    </row>
    <row r="341" spans="1:16" x14ac:dyDescent="0.35">
      <c r="A341" s="18">
        <v>52963</v>
      </c>
      <c r="B341" s="18" t="s">
        <v>593</v>
      </c>
      <c r="C341" s="14" t="s">
        <v>211</v>
      </c>
      <c r="D341" s="15">
        <v>8</v>
      </c>
      <c r="E341" s="15"/>
      <c r="F341" s="15" t="s">
        <v>61</v>
      </c>
      <c r="G341" s="15">
        <v>1852</v>
      </c>
      <c r="H341" s="15" t="s">
        <v>170</v>
      </c>
      <c r="I341" s="16">
        <v>30741</v>
      </c>
      <c r="J341" s="15">
        <v>4</v>
      </c>
      <c r="K341" s="17" t="s">
        <v>212</v>
      </c>
      <c r="L341" s="1" t="str">
        <f t="shared" si="23"/>
        <v>FWDUBS9Q7O5M3K1IZGXE</v>
      </c>
      <c r="M341" s="2" t="str">
        <f>"S9Q7O5M3K1IZGXEVC"</f>
        <v>S9Q7O5M3K1IZGXEVC</v>
      </c>
      <c r="N341" s="1" t="s">
        <v>64</v>
      </c>
      <c r="O341" s="1">
        <v>9630</v>
      </c>
      <c r="P341" s="2" t="str">
        <f t="shared" si="17"/>
        <v>VCTAR8P6N4L2J0HYF</v>
      </c>
    </row>
    <row r="342" spans="1:16" x14ac:dyDescent="0.35">
      <c r="A342" s="18">
        <v>18529</v>
      </c>
      <c r="B342" s="18" t="s">
        <v>593</v>
      </c>
      <c r="C342" s="14" t="s">
        <v>213</v>
      </c>
      <c r="D342" s="15">
        <v>4</v>
      </c>
      <c r="E342" s="15"/>
      <c r="F342" s="15" t="s">
        <v>61</v>
      </c>
      <c r="G342" s="15">
        <v>7418</v>
      </c>
      <c r="H342" s="15" t="s">
        <v>68</v>
      </c>
      <c r="I342" s="16">
        <v>96307</v>
      </c>
      <c r="J342" s="15">
        <v>1</v>
      </c>
      <c r="K342" s="17" t="s">
        <v>214</v>
      </c>
      <c r="M342" s="2" t="str">
        <f>"7O5M"</f>
        <v/>
      </c>
      <c r="P342" s="2" t="str">
        <f t="shared" si="17"/>
        <v/>
      </c>
    </row>
    <row r="343" spans="1:16" x14ac:dyDescent="0.35">
      <c r="A343" s="18">
        <v>41852</v>
      </c>
      <c r="B343" s="18" t="s">
        <v>593</v>
      </c>
      <c r="C343" s="14" t="s">
        <v>215</v>
      </c>
      <c r="D343" s="15">
        <v>7</v>
      </c>
      <c r="E343" s="15"/>
      <c r="F343" s="15" t="s">
        <v>61</v>
      </c>
      <c r="G343" s="15">
        <v>1741</v>
      </c>
      <c r="H343" s="15" t="s">
        <v>170</v>
      </c>
      <c r="I343" s="16">
        <v>29630</v>
      </c>
      <c r="J343" s="15">
        <v>3</v>
      </c>
      <c r="K343" s="17" t="s">
        <v>216</v>
      </c>
      <c r="L343" s="1" t="str">
        <f>"WDUBS9Q7O5M3K1IZGXEV"</f>
        <v>WDUBS9Q7O5M3K1IZGXEV</v>
      </c>
      <c r="M343" s="2" t="str">
        <f>"9Q7O5M3K1IZGXEVCT"</f>
        <v>9Q7O5M3K1IZGXEVCT</v>
      </c>
      <c r="N343" s="1" t="s">
        <v>64</v>
      </c>
      <c r="O343" s="1">
        <v>8529</v>
      </c>
      <c r="P343" s="2" t="str">
        <f t="shared" si="17"/>
        <v>CTAR8P6N4L2J0HYFW</v>
      </c>
    </row>
    <row r="344" spans="1:16" x14ac:dyDescent="0.35">
      <c r="A344" s="18">
        <v>17418</v>
      </c>
      <c r="B344" s="18" t="s">
        <v>593</v>
      </c>
      <c r="C344" s="14" t="s">
        <v>217</v>
      </c>
      <c r="D344" s="15">
        <v>3</v>
      </c>
      <c r="E344" s="15"/>
      <c r="F344" s="15" t="s">
        <v>61</v>
      </c>
      <c r="G344" s="15">
        <v>6307</v>
      </c>
      <c r="H344" s="15" t="s">
        <v>170</v>
      </c>
      <c r="I344" s="16">
        <v>85296</v>
      </c>
      <c r="J344" s="15">
        <v>9</v>
      </c>
      <c r="K344" s="17" t="s">
        <v>218</v>
      </c>
      <c r="L344" s="1" t="str">
        <f>"O5M3K1IZGXEVCTAR8P6N"</f>
        <v>O5M3K1IZGXEVCTAR8P6N</v>
      </c>
      <c r="M344" s="2" t="str">
        <f>"1IZGXEVCTAR8P6N4L"</f>
        <v>1IZGXEVCTAR8P6N4L</v>
      </c>
      <c r="N344" s="1" t="s">
        <v>64</v>
      </c>
      <c r="O344" s="1">
        <v>4185</v>
      </c>
      <c r="P344" s="2" t="str">
        <f t="shared" si="17"/>
        <v>4L2J0HYFWDUBS9Q7O</v>
      </c>
    </row>
    <row r="345" spans="1:16" x14ac:dyDescent="0.35">
      <c r="A345" s="18">
        <v>63074</v>
      </c>
      <c r="B345" s="18" t="s">
        <v>593</v>
      </c>
      <c r="C345" s="14" t="s">
        <v>219</v>
      </c>
      <c r="D345" s="15">
        <v>9</v>
      </c>
      <c r="E345" s="15"/>
      <c r="F345" s="15" t="s">
        <v>61</v>
      </c>
      <c r="G345" s="15">
        <v>2963</v>
      </c>
      <c r="H345" s="15" t="s">
        <v>170</v>
      </c>
      <c r="I345" s="16">
        <v>41852</v>
      </c>
      <c r="J345" s="15">
        <v>5</v>
      </c>
      <c r="K345" s="17" t="s">
        <v>220</v>
      </c>
      <c r="L345" s="1" t="str">
        <f>"GXEVCTAR8P6N4L2J0HYF"</f>
        <v>GXEVCTAR8P6N4L2J0HYF</v>
      </c>
      <c r="M345" s="2" t="str">
        <f>"TAR8P6N4L2J0HYFW"</f>
        <v>TAR8P6N4L2J0HYFW</v>
      </c>
      <c r="N345" s="1" t="s">
        <v>64</v>
      </c>
      <c r="O345" s="1">
        <v>1741</v>
      </c>
      <c r="P345" s="2" t="str">
        <f t="shared" si="17"/>
        <v>WDUBS9Q7O5M3K1IZ</v>
      </c>
    </row>
    <row r="346" spans="1:16" x14ac:dyDescent="0.35">
      <c r="A346" s="18">
        <v>29630</v>
      </c>
      <c r="B346" s="18" t="s">
        <v>593</v>
      </c>
      <c r="C346" s="14" t="s">
        <v>221</v>
      </c>
      <c r="D346" s="15">
        <v>5</v>
      </c>
      <c r="E346" s="15"/>
      <c r="F346" s="15" t="s">
        <v>61</v>
      </c>
      <c r="G346" s="15">
        <v>8529</v>
      </c>
      <c r="H346" s="15" t="s">
        <v>170</v>
      </c>
      <c r="I346" s="16">
        <v>17418</v>
      </c>
      <c r="J346" s="15">
        <v>1</v>
      </c>
      <c r="K346" s="17" t="s">
        <v>222</v>
      </c>
      <c r="L346" s="1" t="str">
        <f>"8P6N4L2J0HYFWDUBS9Q7"</f>
        <v>8P6N4L2J0HYFWDUBS9Q7</v>
      </c>
      <c r="M346" s="2" t="str">
        <f>"L2J0HYFWDUBS9Q7O"</f>
        <v>L2J0HYFWDUBS9Q7O</v>
      </c>
      <c r="N346" s="1" t="s">
        <v>64</v>
      </c>
      <c r="O346" s="1">
        <v>6307</v>
      </c>
      <c r="P346" s="2" t="str">
        <f t="shared" si="17"/>
        <v>O5M3K1IZGXEVCTAR</v>
      </c>
    </row>
    <row r="347" spans="1:16" x14ac:dyDescent="0.35">
      <c r="A347" s="18">
        <v>85296</v>
      </c>
      <c r="B347" s="18" t="s">
        <v>593</v>
      </c>
      <c r="C347" s="14" t="s">
        <v>223</v>
      </c>
      <c r="D347" s="15">
        <v>1</v>
      </c>
      <c r="E347" s="15"/>
      <c r="F347" s="15" t="s">
        <v>61</v>
      </c>
      <c r="G347" s="15">
        <v>4185</v>
      </c>
      <c r="H347" s="15" t="s">
        <v>68</v>
      </c>
      <c r="I347" s="16">
        <v>63074</v>
      </c>
      <c r="J347" s="15">
        <v>7</v>
      </c>
      <c r="K347" s="17" t="s">
        <v>224</v>
      </c>
      <c r="M347" s="2" t="str">
        <f>"0HYF"</f>
        <v/>
      </c>
      <c r="P347" s="2" t="str">
        <f t="shared" si="17"/>
        <v/>
      </c>
    </row>
    <row r="348" spans="1:16" x14ac:dyDescent="0.35">
      <c r="A348" s="18">
        <v>18529</v>
      </c>
      <c r="B348" s="18" t="s">
        <v>593</v>
      </c>
      <c r="C348" s="14" t="s">
        <v>225</v>
      </c>
      <c r="D348" s="15">
        <v>4</v>
      </c>
      <c r="E348" s="15"/>
      <c r="F348" s="15" t="s">
        <v>61</v>
      </c>
      <c r="G348" s="15">
        <v>7418</v>
      </c>
      <c r="H348" s="15" t="s">
        <v>68</v>
      </c>
      <c r="I348" s="16">
        <v>96307</v>
      </c>
      <c r="J348" s="15">
        <v>1</v>
      </c>
      <c r="K348" s="17" t="s">
        <v>226</v>
      </c>
      <c r="M348" s="2" t="str">
        <f>"P6N4"</f>
        <v/>
      </c>
      <c r="P348" s="2" t="str">
        <f t="shared" si="17"/>
        <v/>
      </c>
    </row>
    <row r="349" spans="1:16" x14ac:dyDescent="0.35">
      <c r="A349" s="18">
        <v>41852</v>
      </c>
      <c r="B349" s="18" t="s">
        <v>593</v>
      </c>
      <c r="C349" s="14" t="s">
        <v>227</v>
      </c>
      <c r="D349" s="15">
        <v>7</v>
      </c>
      <c r="E349" s="15"/>
      <c r="F349" s="15" t="s">
        <v>61</v>
      </c>
      <c r="G349" s="15">
        <v>1741</v>
      </c>
      <c r="H349" s="15" t="s">
        <v>68</v>
      </c>
      <c r="I349" s="16">
        <v>29630</v>
      </c>
      <c r="J349" s="15">
        <v>3</v>
      </c>
      <c r="K349" s="17" t="s">
        <v>228</v>
      </c>
      <c r="M349" s="2" t="str">
        <f>"EVCT"</f>
        <v/>
      </c>
      <c r="P349" s="2" t="str">
        <f t="shared" si="17"/>
        <v/>
      </c>
    </row>
    <row r="350" spans="1:16" x14ac:dyDescent="0.35">
      <c r="A350" s="18">
        <v>74185</v>
      </c>
      <c r="B350" s="18" t="s">
        <v>593</v>
      </c>
      <c r="C350" s="14" t="s">
        <v>229</v>
      </c>
      <c r="D350" s="15">
        <v>1</v>
      </c>
      <c r="E350" s="15"/>
      <c r="F350" s="15" t="s">
        <v>61</v>
      </c>
      <c r="G350" s="15">
        <v>3074</v>
      </c>
      <c r="H350" s="15" t="s">
        <v>68</v>
      </c>
      <c r="I350" s="16">
        <v>52963</v>
      </c>
      <c r="J350" s="15">
        <v>6</v>
      </c>
      <c r="K350" s="17" t="s">
        <v>230</v>
      </c>
      <c r="M350" s="2" t="str">
        <f>"3K1I"</f>
        <v/>
      </c>
      <c r="P350" s="2" t="str">
        <f t="shared" si="17"/>
        <v/>
      </c>
    </row>
    <row r="351" spans="1:16" x14ac:dyDescent="0.35">
      <c r="A351" s="18">
        <v>17418</v>
      </c>
      <c r="B351" s="18" t="s">
        <v>593</v>
      </c>
      <c r="C351" s="14" t="s">
        <v>231</v>
      </c>
      <c r="D351" s="15">
        <v>3</v>
      </c>
      <c r="E351" s="15"/>
      <c r="F351" s="15" t="s">
        <v>61</v>
      </c>
      <c r="G351" s="15">
        <v>6307</v>
      </c>
      <c r="H351" s="15" t="s">
        <v>68</v>
      </c>
      <c r="I351" s="16">
        <v>85296</v>
      </c>
      <c r="J351" s="15">
        <v>9</v>
      </c>
      <c r="K351" s="17" t="s">
        <v>232</v>
      </c>
      <c r="M351" s="2" t="str">
        <f>"S9Q7"</f>
        <v/>
      </c>
      <c r="P351" s="2" t="str">
        <f t="shared" si="17"/>
        <v/>
      </c>
    </row>
    <row r="352" spans="1:16" x14ac:dyDescent="0.35">
      <c r="A352" s="18">
        <v>30741</v>
      </c>
      <c r="B352" s="18" t="s">
        <v>593</v>
      </c>
      <c r="C352" s="14" t="s">
        <v>233</v>
      </c>
      <c r="D352" s="15">
        <v>6</v>
      </c>
      <c r="E352" s="15"/>
      <c r="F352" s="15" t="s">
        <v>61</v>
      </c>
      <c r="G352" s="15">
        <v>9630</v>
      </c>
      <c r="H352" s="15" t="s">
        <v>68</v>
      </c>
      <c r="I352" s="16">
        <v>18529</v>
      </c>
      <c r="J352" s="15">
        <v>2</v>
      </c>
      <c r="K352" s="17" t="s">
        <v>234</v>
      </c>
      <c r="M352" s="2" t="str">
        <f>"HYFW"</f>
        <v/>
      </c>
      <c r="P352" s="2" t="str">
        <f t="shared" ref="P352:P415" si="24">"UBS9"</f>
        <v/>
      </c>
    </row>
    <row r="353" spans="1:16" x14ac:dyDescent="0.35">
      <c r="A353" s="18">
        <v>63074</v>
      </c>
      <c r="B353" s="18" t="s">
        <v>593</v>
      </c>
      <c r="C353" s="14" t="s">
        <v>235</v>
      </c>
      <c r="D353" s="15">
        <v>9</v>
      </c>
      <c r="E353" s="15"/>
      <c r="F353" s="15" t="s">
        <v>61</v>
      </c>
      <c r="G353" s="15">
        <v>2963</v>
      </c>
      <c r="H353" s="15" t="s">
        <v>68</v>
      </c>
      <c r="I353" s="16">
        <v>41852</v>
      </c>
      <c r="J353" s="15">
        <v>5</v>
      </c>
      <c r="K353" s="17" t="s">
        <v>236</v>
      </c>
      <c r="M353" s="2" t="str">
        <f>"6N4L"</f>
        <v/>
      </c>
      <c r="P353" s="2" t="str">
        <f t="shared" si="24"/>
        <v/>
      </c>
    </row>
    <row r="354" spans="1:16" x14ac:dyDescent="0.35">
      <c r="A354" s="18">
        <v>96307</v>
      </c>
      <c r="B354" s="18" t="s">
        <v>593</v>
      </c>
      <c r="C354" s="14" t="s">
        <v>237</v>
      </c>
      <c r="D354" s="15">
        <v>2</v>
      </c>
      <c r="E354" s="15"/>
      <c r="F354" s="15" t="s">
        <v>61</v>
      </c>
      <c r="G354" s="15">
        <v>5296</v>
      </c>
      <c r="H354" s="15" t="s">
        <v>68</v>
      </c>
      <c r="I354" s="16">
        <v>74185</v>
      </c>
      <c r="J354" s="15">
        <v>8</v>
      </c>
      <c r="K354" s="17" t="s">
        <v>238</v>
      </c>
      <c r="M354" s="2" t="str">
        <f>"VCTA"</f>
        <v/>
      </c>
      <c r="P354" s="2" t="str">
        <f t="shared" si="24"/>
        <v/>
      </c>
    </row>
    <row r="355" spans="1:16" x14ac:dyDescent="0.35">
      <c r="A355" s="18">
        <v>29630</v>
      </c>
      <c r="B355" s="18" t="s">
        <v>593</v>
      </c>
      <c r="C355" s="14" t="s">
        <v>239</v>
      </c>
      <c r="D355" s="15">
        <v>5</v>
      </c>
      <c r="E355" s="15"/>
      <c r="F355" s="15" t="s">
        <v>61</v>
      </c>
      <c r="G355" s="15">
        <v>8529</v>
      </c>
      <c r="H355" s="15" t="s">
        <v>170</v>
      </c>
      <c r="I355" s="16">
        <v>17418</v>
      </c>
      <c r="J355" s="15">
        <v>1</v>
      </c>
      <c r="K355" s="17" t="s">
        <v>240</v>
      </c>
      <c r="L355" s="1" t="str">
        <f>"K1IZGXEVCTAR8P6N4L2J"</f>
        <v>K1IZGXEVCTAR8P6N4L2J</v>
      </c>
      <c r="M355" s="2" t="str">
        <f>"XEVCTAR8P6N4L2"</f>
        <v>XEVCTAR8P6N4L2</v>
      </c>
      <c r="N355" s="1" t="s">
        <v>64</v>
      </c>
      <c r="O355" s="1">
        <v>6307</v>
      </c>
      <c r="P355" s="2" t="str">
        <f t="shared" si="24"/>
        <v>0HYFWDUBS</v>
      </c>
    </row>
    <row r="356" spans="1:16" x14ac:dyDescent="0.35">
      <c r="A356" s="18">
        <v>85296</v>
      </c>
      <c r="B356" s="18" t="s">
        <v>593</v>
      </c>
      <c r="C356" s="14" t="s">
        <v>241</v>
      </c>
      <c r="D356" s="15">
        <v>1</v>
      </c>
      <c r="E356" s="15"/>
      <c r="F356" s="15" t="s">
        <v>61</v>
      </c>
      <c r="G356" s="15">
        <v>4185</v>
      </c>
      <c r="H356" s="15" t="s">
        <v>170</v>
      </c>
      <c r="I356" s="16">
        <v>63074</v>
      </c>
      <c r="J356" s="15">
        <v>7</v>
      </c>
      <c r="K356" s="17" t="s">
        <v>242</v>
      </c>
      <c r="L356" s="1" t="str">
        <f t="shared" ref="L356:L357" si="25">"CTAR8P6N4L2J0HYFWDUB"</f>
        <v>CTAR8P6N4L2J0HYFWDUB</v>
      </c>
      <c r="M356" s="2" t="str">
        <f>"P6N4L2J0HYFWDUB"</f>
        <v>P6N4L2J0HYFWDUB</v>
      </c>
      <c r="N356" s="1" t="s">
        <v>64</v>
      </c>
      <c r="O356" s="1">
        <v>2963</v>
      </c>
      <c r="P356" s="2" t="str">
        <f t="shared" si="24"/>
        <v>S9Q7O5M3K1IZGXE</v>
      </c>
    </row>
    <row r="357" spans="1:16" x14ac:dyDescent="0.35">
      <c r="A357" s="18">
        <v>41852</v>
      </c>
      <c r="B357" s="18" t="s">
        <v>593</v>
      </c>
      <c r="C357" s="14" t="s">
        <v>243</v>
      </c>
      <c r="D357" s="15">
        <v>7</v>
      </c>
      <c r="E357" s="15"/>
      <c r="F357" s="15" t="s">
        <v>61</v>
      </c>
      <c r="G357" s="15">
        <v>1741</v>
      </c>
      <c r="H357" s="15" t="s">
        <v>170</v>
      </c>
      <c r="I357" s="16">
        <v>29630</v>
      </c>
      <c r="J357" s="15">
        <v>3</v>
      </c>
      <c r="K357" s="17" t="s">
        <v>244</v>
      </c>
      <c r="L357" s="1" t="str">
        <f t="shared" si="25"/>
        <v>4L2J0HYFWDUBS9Q7O5M3</v>
      </c>
      <c r="M357" s="2" t="str">
        <f>"HYFWDUBS9Q7O5M3K1"</f>
        <v>HYFWDUBS9Q7O5M3K1</v>
      </c>
      <c r="N357" s="1" t="s">
        <v>64</v>
      </c>
      <c r="O357" s="1">
        <v>8529</v>
      </c>
      <c r="P357" s="2" t="str">
        <f t="shared" si="24"/>
        <v>K1IZGXEVCTAR8P6N4</v>
      </c>
    </row>
    <row r="358" spans="1:16" x14ac:dyDescent="0.35">
      <c r="A358" s="18">
        <v>17418</v>
      </c>
      <c r="B358" s="18" t="s">
        <v>593</v>
      </c>
      <c r="C358" s="14" t="s">
        <v>245</v>
      </c>
      <c r="D358" s="15">
        <v>3</v>
      </c>
      <c r="E358" s="15"/>
      <c r="F358" s="15" t="s">
        <v>61</v>
      </c>
      <c r="G358" s="15">
        <v>6307</v>
      </c>
      <c r="H358" s="15" t="s">
        <v>68</v>
      </c>
      <c r="I358" s="16">
        <v>85296</v>
      </c>
      <c r="J358" s="15">
        <v>9</v>
      </c>
      <c r="K358" s="17" t="s">
        <v>246</v>
      </c>
      <c r="M358" s="2" t="str">
        <f>"WDUB"</f>
        <v/>
      </c>
      <c r="P358" s="2" t="str">
        <f t="shared" si="24"/>
        <v/>
      </c>
    </row>
    <row r="359" spans="1:16" x14ac:dyDescent="0.35">
      <c r="A359" s="18">
        <v>30741</v>
      </c>
      <c r="B359" s="18" t="s">
        <v>593</v>
      </c>
      <c r="C359" s="14" t="s">
        <v>247</v>
      </c>
      <c r="D359" s="15">
        <v>6</v>
      </c>
      <c r="E359" s="15"/>
      <c r="F359" s="15" t="s">
        <v>61</v>
      </c>
      <c r="G359" s="15">
        <v>9630</v>
      </c>
      <c r="H359" s="15" t="s">
        <v>170</v>
      </c>
      <c r="I359" s="16">
        <v>18529</v>
      </c>
      <c r="J359" s="15">
        <v>2</v>
      </c>
      <c r="K359" s="17" t="s">
        <v>248</v>
      </c>
      <c r="L359" s="1" t="str">
        <f>"L2J0HYFWDUBS9Q7O5"</f>
        <v>L2J0HYFWDUBS9Q7O5</v>
      </c>
      <c r="M359" s="2" t="str">
        <f>"YFWDUBS9Q7O"</f>
        <v>YFWDUBS9Q7O</v>
      </c>
      <c r="N359" s="1" t="s">
        <v>102</v>
      </c>
      <c r="O359" s="1">
        <v>74</v>
      </c>
      <c r="P359" s="2" t="str">
        <f t="shared" si="24"/>
        <v>1IZGXEVCT</v>
      </c>
    </row>
    <row r="360" spans="1:16" x14ac:dyDescent="0.35">
      <c r="A360" s="18">
        <v>96307</v>
      </c>
      <c r="B360" s="18" t="s">
        <v>593</v>
      </c>
      <c r="C360" s="14" t="s">
        <v>249</v>
      </c>
      <c r="D360" s="15">
        <v>2</v>
      </c>
      <c r="E360" s="15"/>
      <c r="F360" s="15" t="s">
        <v>61</v>
      </c>
      <c r="G360" s="15">
        <v>5296</v>
      </c>
      <c r="H360" s="15" t="s">
        <v>170</v>
      </c>
      <c r="I360" s="16">
        <v>74185</v>
      </c>
      <c r="J360" s="15">
        <v>8</v>
      </c>
      <c r="K360" s="17" t="s">
        <v>250</v>
      </c>
      <c r="L360" s="1" t="str">
        <f>"DUBS9Q7O5M3K1IZGXEVC"</f>
        <v>DUBS9Q7O5M3K1IZGXEVC</v>
      </c>
      <c r="M360" s="2" t="str">
        <f>"Q7O5M3K1IZGXEVCTA"</f>
        <v>Q7O5M3K1IZGXEVCTA</v>
      </c>
      <c r="N360" s="1" t="s">
        <v>64</v>
      </c>
      <c r="O360" s="1">
        <v>3074</v>
      </c>
      <c r="P360" s="2" t="str">
        <f t="shared" si="24"/>
        <v>TAR8P6N4L2J0HYFWD</v>
      </c>
    </row>
    <row r="361" spans="1:16" x14ac:dyDescent="0.35">
      <c r="A361" s="18">
        <v>52963</v>
      </c>
      <c r="B361" s="18" t="s">
        <v>593</v>
      </c>
      <c r="C361" s="14" t="s">
        <v>251</v>
      </c>
      <c r="D361" s="15">
        <v>8</v>
      </c>
      <c r="E361" s="15"/>
      <c r="F361" s="15" t="s">
        <v>61</v>
      </c>
      <c r="G361" s="15">
        <v>1852</v>
      </c>
      <c r="H361" s="15" t="s">
        <v>68</v>
      </c>
      <c r="I361" s="16">
        <v>30741</v>
      </c>
      <c r="J361" s="15">
        <v>4</v>
      </c>
      <c r="K361" s="17" t="s">
        <v>252</v>
      </c>
      <c r="M361" s="2" t="str">
        <f>"5M3K"</f>
        <v/>
      </c>
      <c r="P361" s="2" t="str">
        <f t="shared" si="24"/>
        <v/>
      </c>
    </row>
    <row r="362" spans="1:16" x14ac:dyDescent="0.35">
      <c r="A362" s="18">
        <v>85296</v>
      </c>
      <c r="B362" s="18" t="s">
        <v>593</v>
      </c>
      <c r="C362" s="14" t="s">
        <v>253</v>
      </c>
      <c r="D362" s="15">
        <v>1</v>
      </c>
      <c r="E362" s="15"/>
      <c r="F362" s="15" t="s">
        <v>61</v>
      </c>
      <c r="G362" s="15">
        <v>4185</v>
      </c>
      <c r="H362" s="15" t="s">
        <v>170</v>
      </c>
      <c r="I362" s="16">
        <v>63074</v>
      </c>
      <c r="J362" s="15">
        <v>7</v>
      </c>
      <c r="K362" s="17" t="s">
        <v>254</v>
      </c>
      <c r="L362" s="1" t="str">
        <f>"UBS9Q7O5M3K1IZGXE"</f>
        <v>UBS9Q7O5M3K1IZGXE</v>
      </c>
      <c r="M362" s="2" t="str">
        <f>"7O5M3K1IZGX"</f>
        <v>7O5M3K1IZGX</v>
      </c>
      <c r="N362" s="1" t="s">
        <v>102</v>
      </c>
      <c r="O362" s="1">
        <v>29</v>
      </c>
      <c r="P362" s="2" t="str">
        <f t="shared" si="24"/>
        <v>AR8P6N4L2</v>
      </c>
    </row>
    <row r="363" spans="1:16" x14ac:dyDescent="0.35">
      <c r="A363" s="18">
        <v>41852</v>
      </c>
      <c r="B363" s="18" t="s">
        <v>593</v>
      </c>
      <c r="C363" s="14" t="s">
        <v>255</v>
      </c>
      <c r="D363" s="15">
        <v>7</v>
      </c>
      <c r="E363" s="15"/>
      <c r="F363" s="15" t="s">
        <v>61</v>
      </c>
      <c r="G363" s="15">
        <v>1741</v>
      </c>
      <c r="H363" s="15" t="s">
        <v>170</v>
      </c>
      <c r="I363" s="16">
        <v>29630</v>
      </c>
      <c r="J363" s="15">
        <v>3</v>
      </c>
      <c r="K363" s="17" t="s">
        <v>256</v>
      </c>
      <c r="L363" s="1" t="str">
        <f>"M3K1IZGXEVCTAR8P6N4L"</f>
        <v>M3K1IZGXEVCTAR8P6N4L</v>
      </c>
      <c r="M363" s="2" t="str">
        <f>"ZGXEVCTAR8P6N4L2J"</f>
        <v>ZGXEVCTAR8P6N4L2J</v>
      </c>
      <c r="N363" s="1" t="s">
        <v>64</v>
      </c>
      <c r="O363" s="1">
        <v>8529</v>
      </c>
      <c r="P363" s="2" t="str">
        <f t="shared" si="24"/>
        <v>2J0HYFWDUBS9Q7O5M</v>
      </c>
    </row>
    <row r="364" spans="1:16" x14ac:dyDescent="0.35">
      <c r="A364" s="18">
        <v>17418</v>
      </c>
      <c r="B364" s="18" t="s">
        <v>593</v>
      </c>
      <c r="C364" s="14" t="s">
        <v>257</v>
      </c>
      <c r="D364" s="15">
        <v>3</v>
      </c>
      <c r="E364" s="15"/>
      <c r="F364" s="15" t="s">
        <v>61</v>
      </c>
      <c r="G364" s="15">
        <v>6307</v>
      </c>
      <c r="H364" s="15" t="s">
        <v>68</v>
      </c>
      <c r="I364" s="16">
        <v>85296</v>
      </c>
      <c r="J364" s="15">
        <v>9</v>
      </c>
      <c r="K364" s="17" t="s">
        <v>258</v>
      </c>
      <c r="M364" s="2" t="str">
        <f>"EVCT"</f>
        <v/>
      </c>
      <c r="P364" s="2" t="str">
        <f t="shared" si="24"/>
        <v/>
      </c>
    </row>
    <row r="365" spans="1:16" x14ac:dyDescent="0.35">
      <c r="A365" s="18">
        <v>30741</v>
      </c>
      <c r="B365" s="18" t="s">
        <v>593</v>
      </c>
      <c r="C365" s="14" t="s">
        <v>259</v>
      </c>
      <c r="D365" s="15">
        <v>6</v>
      </c>
      <c r="E365" s="15"/>
      <c r="F365" s="15" t="s">
        <v>61</v>
      </c>
      <c r="G365" s="15">
        <v>9630</v>
      </c>
      <c r="H365" s="15" t="s">
        <v>170</v>
      </c>
      <c r="I365" s="16">
        <v>18529</v>
      </c>
      <c r="J365" s="15">
        <v>2</v>
      </c>
      <c r="K365" s="17" t="s">
        <v>260</v>
      </c>
      <c r="L365" s="1" t="str">
        <f>"3K1IZGXEVCTAR8P6N4L2"</f>
        <v>3K1IZGXEVCTAR8P6N4L2</v>
      </c>
      <c r="M365" s="2" t="str">
        <f>"GXEVCTAR8P6N4L2J0"</f>
        <v>GXEVCTAR8P6N4L2J0</v>
      </c>
      <c r="N365" s="1" t="s">
        <v>64</v>
      </c>
      <c r="O365" s="1">
        <v>7418</v>
      </c>
      <c r="P365" s="2" t="str">
        <f t="shared" si="24"/>
        <v>J0HYFWDUBS9Q7O5M3</v>
      </c>
    </row>
    <row r="366" spans="1:16" x14ac:dyDescent="0.35">
      <c r="A366" s="18">
        <v>96307</v>
      </c>
      <c r="B366" s="18" t="s">
        <v>593</v>
      </c>
      <c r="C366" s="14" t="s">
        <v>261</v>
      </c>
      <c r="D366" s="15">
        <v>2</v>
      </c>
      <c r="E366" s="15"/>
      <c r="F366" s="15" t="s">
        <v>61</v>
      </c>
      <c r="G366" s="15">
        <v>5296</v>
      </c>
      <c r="H366" s="15" t="s">
        <v>170</v>
      </c>
      <c r="I366" s="16">
        <v>74185</v>
      </c>
      <c r="J366" s="15">
        <v>8</v>
      </c>
      <c r="K366" s="17" t="s">
        <v>262</v>
      </c>
      <c r="L366" s="1" t="str">
        <f>"VCTAR8P6N4L2J0HYFWDU"</f>
        <v>VCTAR8P6N4L2J0HYFWDU</v>
      </c>
      <c r="M366" s="2" t="str">
        <f>"8P6N4L2J0HYFWDUB"</f>
        <v>8P6N4L2J0HYFWDUB</v>
      </c>
      <c r="N366" s="1" t="s">
        <v>64</v>
      </c>
      <c r="O366" s="1">
        <v>3074</v>
      </c>
      <c r="P366" s="2" t="str">
        <f t="shared" si="24"/>
        <v>BS9Q7O5M3K1IZGXE</v>
      </c>
    </row>
    <row r="367" spans="1:16" x14ac:dyDescent="0.35">
      <c r="A367" s="18">
        <v>52963</v>
      </c>
      <c r="B367" s="18" t="s">
        <v>593</v>
      </c>
      <c r="C367" s="14" t="s">
        <v>263</v>
      </c>
      <c r="D367" s="15">
        <v>8</v>
      </c>
      <c r="E367" s="15"/>
      <c r="F367" s="15" t="s">
        <v>61</v>
      </c>
      <c r="G367" s="15">
        <v>1852</v>
      </c>
      <c r="H367" s="15" t="s">
        <v>170</v>
      </c>
      <c r="I367" s="16">
        <v>30741</v>
      </c>
      <c r="J367" s="15">
        <v>4</v>
      </c>
      <c r="K367" s="17" t="s">
        <v>264</v>
      </c>
      <c r="L367" s="1" t="str">
        <f t="shared" ref="L367" si="26">"N4L2J0HYFWDUBS9Q7O5M"</f>
        <v>N4L2J0HYFWDUBS9Q7O5M</v>
      </c>
      <c r="M367" s="2" t="str">
        <f>"0HYFWDUBS9Q7O5M3"</f>
        <v>0HYFWDUBS9Q7O5M3</v>
      </c>
      <c r="N367" s="1" t="s">
        <v>64</v>
      </c>
      <c r="O367" s="1">
        <v>9630</v>
      </c>
      <c r="P367" s="2" t="str">
        <f t="shared" si="24"/>
        <v>3K1IZGXEVCTAR8P6</v>
      </c>
    </row>
    <row r="368" spans="1:16" x14ac:dyDescent="0.35">
      <c r="A368" s="18">
        <v>18529</v>
      </c>
      <c r="B368" s="18" t="s">
        <v>593</v>
      </c>
      <c r="C368" s="14" t="s">
        <v>265</v>
      </c>
      <c r="D368" s="15">
        <v>4</v>
      </c>
      <c r="E368" s="15"/>
      <c r="F368" s="15" t="s">
        <v>61</v>
      </c>
      <c r="G368" s="15">
        <v>7418</v>
      </c>
      <c r="H368" s="15" t="s">
        <v>68</v>
      </c>
      <c r="I368" s="16">
        <v>96307</v>
      </c>
      <c r="J368" s="15">
        <v>1</v>
      </c>
      <c r="K368" s="17" t="s">
        <v>266</v>
      </c>
      <c r="P368" s="2">
        <f t="shared" si="24"/>
        <v>2</v>
      </c>
    </row>
    <row r="369" spans="1:16" x14ac:dyDescent="0.35">
      <c r="A369" s="18">
        <v>30741</v>
      </c>
      <c r="B369" s="18" t="s">
        <v>593</v>
      </c>
      <c r="C369" s="14" t="s">
        <v>267</v>
      </c>
      <c r="D369" s="15">
        <v>6</v>
      </c>
      <c r="E369" s="15"/>
      <c r="F369" s="15" t="s">
        <v>61</v>
      </c>
      <c r="G369" s="15">
        <v>9630</v>
      </c>
      <c r="H369" s="15" t="s">
        <v>170</v>
      </c>
      <c r="I369" s="16">
        <v>18529</v>
      </c>
      <c r="J369" s="15">
        <v>2</v>
      </c>
      <c r="K369" s="17" t="s">
        <v>268</v>
      </c>
      <c r="L369" s="1" t="str">
        <f>"R8P6N4L2J0HYFWDUBS9Q"</f>
        <v>R8P6N4L2J0HYFWDUBS9Q</v>
      </c>
      <c r="M369" s="2" t="str">
        <f>"4L2J0HYFWDUBS9Q7"</f>
        <v>4L2J0HYFWDUBS9Q7</v>
      </c>
      <c r="N369" s="1" t="s">
        <v>64</v>
      </c>
      <c r="O369" s="1">
        <v>7418</v>
      </c>
      <c r="P369" s="2" t="str">
        <f t="shared" si="24"/>
        <v>7O5M3K1IZGXEVCTA</v>
      </c>
    </row>
    <row r="370" spans="1:16" x14ac:dyDescent="0.35">
      <c r="A370" s="18">
        <v>96307</v>
      </c>
      <c r="B370" s="18" t="s">
        <v>593</v>
      </c>
      <c r="C370" s="14" t="s">
        <v>269</v>
      </c>
      <c r="D370" s="15">
        <v>2</v>
      </c>
      <c r="E370" s="15"/>
      <c r="F370" s="15" t="s">
        <v>61</v>
      </c>
      <c r="G370" s="15">
        <v>5296</v>
      </c>
      <c r="H370" s="15" t="s">
        <v>68</v>
      </c>
      <c r="I370" s="16">
        <v>74185</v>
      </c>
      <c r="J370" s="15">
        <v>8</v>
      </c>
      <c r="K370" s="17" t="s">
        <v>270</v>
      </c>
      <c r="M370" s="2" t="str">
        <f>"J0HY"</f>
        <v/>
      </c>
      <c r="P370" s="2" t="str">
        <f t="shared" si="24"/>
        <v/>
      </c>
    </row>
    <row r="371" spans="1:16" x14ac:dyDescent="0.35">
      <c r="A371" s="18">
        <v>29630</v>
      </c>
      <c r="B371" s="18" t="s">
        <v>593</v>
      </c>
      <c r="C371" s="14" t="s">
        <v>271</v>
      </c>
      <c r="D371" s="15">
        <v>5</v>
      </c>
      <c r="E371" s="15"/>
      <c r="F371" s="15" t="s">
        <v>61</v>
      </c>
      <c r="G371" s="15">
        <v>8529</v>
      </c>
      <c r="H371" s="15" t="s">
        <v>170</v>
      </c>
      <c r="I371" s="16">
        <v>17418</v>
      </c>
      <c r="J371" s="15">
        <v>1</v>
      </c>
      <c r="K371" s="17" t="s">
        <v>272</v>
      </c>
      <c r="L371" s="1" t="str">
        <f>"8P6N4L2J0HYFWDUBS9Q7"</f>
        <v>8P6N4L2J0HYFWDUBS9Q7</v>
      </c>
      <c r="M371" s="2" t="str">
        <f>"L2J0HYFWDUBS9Q7O5M"</f>
        <v>L2J0HYFWDUBS9Q7O5M</v>
      </c>
      <c r="N371" s="1" t="s">
        <v>64</v>
      </c>
      <c r="O371" s="1">
        <v>6307</v>
      </c>
      <c r="P371" s="2" t="str">
        <f t="shared" si="24"/>
        <v>O5M3K1IZGXEVCTAR8P</v>
      </c>
    </row>
    <row r="372" spans="1:16" x14ac:dyDescent="0.35">
      <c r="A372" s="18">
        <v>85296</v>
      </c>
      <c r="B372" s="18" t="s">
        <v>593</v>
      </c>
      <c r="C372" s="14" t="s">
        <v>273</v>
      </c>
      <c r="D372" s="15">
        <v>1</v>
      </c>
      <c r="E372" s="15"/>
      <c r="F372" s="15" t="s">
        <v>61</v>
      </c>
      <c r="G372" s="15">
        <v>4185</v>
      </c>
      <c r="H372" s="15" t="s">
        <v>170</v>
      </c>
      <c r="I372" s="16">
        <v>63074</v>
      </c>
      <c r="J372" s="15">
        <v>7</v>
      </c>
      <c r="K372" s="17" t="s">
        <v>274</v>
      </c>
      <c r="L372" s="1" t="str">
        <f>"0HYFWDUBS9Q7O5M3K1IZ"</f>
        <v>0HYFWDUBS9Q7O5M3K1IZ</v>
      </c>
      <c r="M372" s="2" t="str">
        <f>"DUBS9Q7O5M3K1IZGX"</f>
        <v>DUBS9Q7O5M3K1IZGX</v>
      </c>
      <c r="N372" s="1" t="s">
        <v>64</v>
      </c>
      <c r="O372" s="1">
        <v>2963</v>
      </c>
      <c r="P372" s="2" t="str">
        <f t="shared" si="24"/>
        <v>GXEVCTAR8P6N4L2J0</v>
      </c>
    </row>
    <row r="373" spans="1:16" x14ac:dyDescent="0.35">
      <c r="A373" s="18">
        <v>41852</v>
      </c>
      <c r="B373" s="18" t="s">
        <v>593</v>
      </c>
      <c r="C373" s="14" t="s">
        <v>275</v>
      </c>
      <c r="D373" s="15">
        <v>7</v>
      </c>
      <c r="E373" s="15"/>
      <c r="F373" s="15" t="s">
        <v>61</v>
      </c>
      <c r="G373" s="15">
        <v>1741</v>
      </c>
      <c r="H373" s="15" t="s">
        <v>68</v>
      </c>
      <c r="I373" s="16">
        <v>29630</v>
      </c>
      <c r="J373" s="15">
        <v>3</v>
      </c>
      <c r="K373" s="17" t="s">
        <v>276</v>
      </c>
      <c r="M373" s="2" t="str">
        <f>"S9Q7"</f>
        <v/>
      </c>
      <c r="P373" s="2" t="str">
        <f t="shared" si="24"/>
        <v/>
      </c>
    </row>
    <row r="374" spans="1:16" x14ac:dyDescent="0.35">
      <c r="A374" s="18">
        <v>74185</v>
      </c>
      <c r="B374" s="18" t="s">
        <v>593</v>
      </c>
      <c r="C374" s="14" t="s">
        <v>277</v>
      </c>
      <c r="D374" s="15">
        <v>1</v>
      </c>
      <c r="E374" s="15"/>
      <c r="F374" s="15" t="s">
        <v>61</v>
      </c>
      <c r="G374" s="15">
        <v>3074</v>
      </c>
      <c r="H374" s="15" t="s">
        <v>68</v>
      </c>
      <c r="I374" s="16">
        <v>52963</v>
      </c>
      <c r="J374" s="15">
        <v>6</v>
      </c>
      <c r="K374" s="17" t="s">
        <v>278</v>
      </c>
      <c r="M374" s="2" t="str">
        <f>"HYFW"</f>
        <v/>
      </c>
      <c r="P374" s="2" t="str">
        <f t="shared" si="24"/>
        <v/>
      </c>
    </row>
    <row r="375" spans="1:16" x14ac:dyDescent="0.35">
      <c r="A375" s="18">
        <v>17418</v>
      </c>
      <c r="B375" s="18" t="s">
        <v>593</v>
      </c>
      <c r="C375" s="14" t="s">
        <v>279</v>
      </c>
      <c r="D375" s="15">
        <v>3</v>
      </c>
      <c r="E375" s="15"/>
      <c r="F375" s="15" t="s">
        <v>61</v>
      </c>
      <c r="G375" s="15">
        <v>6307</v>
      </c>
      <c r="H375" s="15" t="s">
        <v>170</v>
      </c>
      <c r="I375" s="16">
        <v>85296</v>
      </c>
      <c r="J375" s="15">
        <v>9</v>
      </c>
      <c r="K375" s="17" t="s">
        <v>280</v>
      </c>
      <c r="L375" s="1" t="str">
        <f>"6N4L2J0HYFWDUBS9Q7O5"</f>
        <v>6N4L2J0HYFWDUBS9Q7O5</v>
      </c>
      <c r="M375" s="2" t="str">
        <f>"J0HYFWDUBS9Q7O5M3K"</f>
        <v>J0HYFWDUBS9Q7O5M3K</v>
      </c>
      <c r="N375" s="1" t="s">
        <v>64</v>
      </c>
      <c r="O375" s="1">
        <v>4185</v>
      </c>
      <c r="P375" s="2" t="str">
        <f t="shared" si="24"/>
        <v>M3K1IZGXEVCTAR8P6N</v>
      </c>
    </row>
    <row r="376" spans="1:16" x14ac:dyDescent="0.35">
      <c r="A376" s="18">
        <v>63074</v>
      </c>
      <c r="B376" s="18" t="s">
        <v>593</v>
      </c>
      <c r="C376" s="14" t="s">
        <v>281</v>
      </c>
      <c r="D376" s="15">
        <v>9</v>
      </c>
      <c r="E376" s="15"/>
      <c r="F376" s="15" t="s">
        <v>61</v>
      </c>
      <c r="G376" s="15">
        <v>2963</v>
      </c>
      <c r="H376" s="15" t="s">
        <v>170</v>
      </c>
      <c r="I376" s="16">
        <v>41852</v>
      </c>
      <c r="J376" s="15">
        <v>5</v>
      </c>
      <c r="K376" s="17" t="s">
        <v>282</v>
      </c>
      <c r="L376" s="1" t="str">
        <f>"YFWDUBS9Q7O5M3K1IZGX"</f>
        <v>YFWDUBS9Q7O5M3K1IZGX</v>
      </c>
      <c r="M376" s="2" t="str">
        <f>"BS9Q7O5M3K1IZGXEV"</f>
        <v>BS9Q7O5M3K1IZGXEV</v>
      </c>
      <c r="N376" s="1" t="s">
        <v>64</v>
      </c>
      <c r="O376" s="1">
        <v>1741</v>
      </c>
      <c r="P376" s="2" t="str">
        <f t="shared" si="24"/>
        <v>EVCTAR8P6N4L2J0HY</v>
      </c>
    </row>
    <row r="377" spans="1:16" x14ac:dyDescent="0.35">
      <c r="A377" s="18">
        <v>29630</v>
      </c>
      <c r="B377" s="18" t="s">
        <v>593</v>
      </c>
      <c r="C377" s="14" t="s">
        <v>283</v>
      </c>
      <c r="D377" s="15">
        <v>5</v>
      </c>
      <c r="E377" s="15"/>
      <c r="F377" s="15" t="s">
        <v>61</v>
      </c>
      <c r="G377" s="15">
        <v>8529</v>
      </c>
      <c r="H377" s="15" t="s">
        <v>170</v>
      </c>
      <c r="I377" s="16">
        <v>17418</v>
      </c>
      <c r="J377" s="15">
        <v>1</v>
      </c>
      <c r="K377" s="17" t="s">
        <v>284</v>
      </c>
      <c r="L377" s="1" t="str">
        <f>"Q7O5M3K1IZGXEVCTAR8P"</f>
        <v>Q7O5M3K1IZGXEVCTAR8P</v>
      </c>
      <c r="M377" s="2" t="str">
        <f>"3K1IZGXEVCTAR8P6N"</f>
        <v>3K1IZGXEVCTAR8P6N</v>
      </c>
      <c r="N377" s="1" t="s">
        <v>64</v>
      </c>
      <c r="O377" s="1">
        <v>6307</v>
      </c>
      <c r="P377" s="2" t="str">
        <f t="shared" si="24"/>
        <v>6N4L2J0HYFWDUBS9Q</v>
      </c>
    </row>
    <row r="378" spans="1:16" x14ac:dyDescent="0.35">
      <c r="A378" s="18">
        <v>85296</v>
      </c>
      <c r="B378" s="18" t="s">
        <v>593</v>
      </c>
      <c r="C378" s="14" t="s">
        <v>285</v>
      </c>
      <c r="D378" s="15">
        <v>1</v>
      </c>
      <c r="E378" s="15"/>
      <c r="F378" s="15" t="s">
        <v>61</v>
      </c>
      <c r="G378" s="15">
        <v>4185</v>
      </c>
      <c r="H378" s="15" t="s">
        <v>68</v>
      </c>
      <c r="I378" s="16">
        <v>63074</v>
      </c>
      <c r="J378" s="15">
        <v>7</v>
      </c>
      <c r="K378" s="17" t="s">
        <v>286</v>
      </c>
      <c r="M378" s="2" t="str">
        <f>"IZGX"</f>
        <v/>
      </c>
      <c r="P378" s="2" t="str">
        <f t="shared" si="24"/>
        <v/>
      </c>
    </row>
    <row r="379" spans="1:16" x14ac:dyDescent="0.35">
      <c r="A379" s="18">
        <v>18529</v>
      </c>
      <c r="B379" s="18" t="s">
        <v>593</v>
      </c>
      <c r="C379" s="14" t="s">
        <v>287</v>
      </c>
      <c r="D379" s="15">
        <v>4</v>
      </c>
      <c r="E379" s="15"/>
      <c r="F379" s="15" t="s">
        <v>61</v>
      </c>
      <c r="G379" s="15">
        <v>7418</v>
      </c>
      <c r="H379" s="15" t="s">
        <v>68</v>
      </c>
      <c r="I379" s="16">
        <v>96307</v>
      </c>
      <c r="J379" s="15">
        <v>1</v>
      </c>
      <c r="K379" s="17" t="s">
        <v>288</v>
      </c>
      <c r="M379" s="2" t="str">
        <f>"7O5M"</f>
        <v/>
      </c>
      <c r="P379" s="2" t="str">
        <f t="shared" si="24"/>
        <v/>
      </c>
    </row>
    <row r="380" spans="1:16" x14ac:dyDescent="0.35">
      <c r="A380" s="18">
        <v>41852</v>
      </c>
      <c r="B380" s="18" t="s">
        <v>593</v>
      </c>
      <c r="C380" s="14" t="s">
        <v>289</v>
      </c>
      <c r="D380" s="15">
        <v>7</v>
      </c>
      <c r="E380" s="15"/>
      <c r="F380" s="15" t="s">
        <v>61</v>
      </c>
      <c r="G380" s="15">
        <v>1741</v>
      </c>
      <c r="H380" s="15" t="s">
        <v>170</v>
      </c>
      <c r="I380" s="16">
        <v>29630</v>
      </c>
      <c r="J380" s="15">
        <v>3</v>
      </c>
      <c r="K380" s="17" t="s">
        <v>290</v>
      </c>
      <c r="L380" s="1" t="str">
        <f t="shared" ref="L380:L381" si="27">"WDUBS9Q7O5M3K1IZG"</f>
        <v>WDUBS9Q7O5M3K1IZG</v>
      </c>
      <c r="M380" s="2" t="str">
        <f>"9Q7O5M3K1IZ"</f>
        <v>9Q7O5M3K1IZ</v>
      </c>
      <c r="N380" s="1" t="s">
        <v>102</v>
      </c>
      <c r="O380" s="1">
        <v>85</v>
      </c>
      <c r="P380" s="2" t="str">
        <f t="shared" si="24"/>
        <v>CTAR8P6N4</v>
      </c>
    </row>
    <row r="381" spans="1:16" x14ac:dyDescent="0.35">
      <c r="A381" s="18">
        <v>17418</v>
      </c>
      <c r="B381" s="18" t="s">
        <v>593</v>
      </c>
      <c r="C381" s="14" t="s">
        <v>291</v>
      </c>
      <c r="D381" s="15">
        <v>3</v>
      </c>
      <c r="E381" s="15"/>
      <c r="F381" s="15" t="s">
        <v>61</v>
      </c>
      <c r="G381" s="15">
        <v>6307</v>
      </c>
      <c r="H381" s="15" t="s">
        <v>170</v>
      </c>
      <c r="I381" s="16">
        <v>85296</v>
      </c>
      <c r="J381" s="15">
        <v>9</v>
      </c>
      <c r="K381" s="17" t="s">
        <v>292</v>
      </c>
      <c r="L381" s="1" t="str">
        <f t="shared" si="27"/>
        <v>O5M3K1IZGXEVCTAR8P6N</v>
      </c>
      <c r="M381" s="2" t="str">
        <f>"1IZGXEVCTAR8P6N4L"</f>
        <v>1IZGXEVCTAR8P6N4L</v>
      </c>
      <c r="N381" s="1" t="s">
        <v>64</v>
      </c>
      <c r="O381" s="1">
        <v>4185</v>
      </c>
      <c r="P381" s="2" t="str">
        <f t="shared" si="24"/>
        <v>4L2J0HYFWDUBS9Q7O</v>
      </c>
    </row>
    <row r="382" spans="1:16" x14ac:dyDescent="0.35">
      <c r="A382" s="18">
        <v>63074</v>
      </c>
      <c r="B382" s="18" t="s">
        <v>593</v>
      </c>
      <c r="C382" s="14" t="s">
        <v>293</v>
      </c>
      <c r="D382" s="15">
        <v>9</v>
      </c>
      <c r="E382" s="15"/>
      <c r="F382" s="15" t="s">
        <v>61</v>
      </c>
      <c r="G382" s="15">
        <v>2963</v>
      </c>
      <c r="H382" s="15" t="s">
        <v>68</v>
      </c>
      <c r="I382" s="16">
        <v>41852</v>
      </c>
      <c r="J382" s="15">
        <v>5</v>
      </c>
      <c r="K382" s="17" t="s">
        <v>294</v>
      </c>
      <c r="M382" s="2" t="str">
        <f>"GXEV"</f>
        <v/>
      </c>
      <c r="P382" s="2" t="str">
        <f t="shared" si="24"/>
        <v/>
      </c>
    </row>
    <row r="383" spans="1:16" x14ac:dyDescent="0.35">
      <c r="A383" s="18">
        <v>96307</v>
      </c>
      <c r="B383" s="18" t="s">
        <v>593</v>
      </c>
      <c r="C383" s="14" t="s">
        <v>295</v>
      </c>
      <c r="D383" s="15">
        <v>2</v>
      </c>
      <c r="E383" s="15"/>
      <c r="F383" s="15" t="s">
        <v>61</v>
      </c>
      <c r="G383" s="15">
        <v>5296</v>
      </c>
      <c r="H383" s="15" t="s">
        <v>68</v>
      </c>
      <c r="I383" s="16">
        <v>74185</v>
      </c>
      <c r="J383" s="15">
        <v>8</v>
      </c>
      <c r="K383" s="17" t="s">
        <v>296</v>
      </c>
      <c r="M383" s="2" t="str">
        <f>"5M3K"</f>
        <v/>
      </c>
      <c r="P383" s="2" t="str">
        <f t="shared" si="24"/>
        <v/>
      </c>
    </row>
    <row r="384" spans="1:16" x14ac:dyDescent="0.35">
      <c r="A384" s="18">
        <v>29630</v>
      </c>
      <c r="B384" s="18" t="s">
        <v>593</v>
      </c>
      <c r="C384" s="14" t="s">
        <v>297</v>
      </c>
      <c r="D384" s="15">
        <v>5</v>
      </c>
      <c r="E384" s="15"/>
      <c r="F384" s="15" t="s">
        <v>61</v>
      </c>
      <c r="G384" s="15">
        <v>8529</v>
      </c>
      <c r="H384" s="15" t="s">
        <v>68</v>
      </c>
      <c r="I384" s="16">
        <v>17418</v>
      </c>
      <c r="J384" s="15">
        <v>1</v>
      </c>
      <c r="K384" s="17" t="s">
        <v>298</v>
      </c>
      <c r="M384" s="2" t="str">
        <f>"UBS9"</f>
        <v/>
      </c>
      <c r="P384" s="2" t="str">
        <f t="shared" si="24"/>
        <v/>
      </c>
    </row>
    <row r="385" spans="1:16" x14ac:dyDescent="0.35">
      <c r="A385" s="18">
        <v>52963</v>
      </c>
      <c r="B385" s="18" t="s">
        <v>593</v>
      </c>
      <c r="C385" s="14" t="s">
        <v>299</v>
      </c>
      <c r="D385" s="15">
        <v>8</v>
      </c>
      <c r="E385" s="15"/>
      <c r="F385" s="15" t="s">
        <v>61</v>
      </c>
      <c r="G385" s="15">
        <v>1852</v>
      </c>
      <c r="H385" s="15" t="s">
        <v>68</v>
      </c>
      <c r="I385" s="16">
        <v>30741</v>
      </c>
      <c r="J385" s="15">
        <v>4</v>
      </c>
      <c r="K385" s="17" t="s">
        <v>300</v>
      </c>
      <c r="M385" s="2" t="str">
        <f>"J0HY"</f>
        <v/>
      </c>
      <c r="P385" s="2" t="str">
        <f t="shared" si="24"/>
        <v/>
      </c>
    </row>
    <row r="386" spans="1:16" x14ac:dyDescent="0.35">
      <c r="A386" s="18">
        <v>85296</v>
      </c>
      <c r="B386" s="18" t="s">
        <v>593</v>
      </c>
      <c r="C386" s="14" t="s">
        <v>301</v>
      </c>
      <c r="D386" s="15">
        <v>1</v>
      </c>
      <c r="E386" s="15"/>
      <c r="F386" s="15" t="s">
        <v>61</v>
      </c>
      <c r="G386" s="15">
        <v>4185</v>
      </c>
      <c r="H386" s="15" t="s">
        <v>170</v>
      </c>
      <c r="I386" s="16">
        <v>63074</v>
      </c>
      <c r="J386" s="15">
        <v>7</v>
      </c>
      <c r="K386" s="17" t="s">
        <v>302</v>
      </c>
      <c r="L386" s="1" t="str">
        <f t="shared" ref="L386:L392" si="28">"8P6N4L2J0HYFWDUBS9Q7"</f>
        <v>8P6N4L2J0HYFWDUBS9Q7</v>
      </c>
      <c r="M386" s="2" t="str">
        <f>"L2J0HYFWDUBS9Q7O5"</f>
        <v>L2J0HYFWDUBS9Q7O5</v>
      </c>
      <c r="N386" s="1" t="s">
        <v>64</v>
      </c>
      <c r="O386" s="1">
        <v>2963</v>
      </c>
      <c r="P386" s="2" t="str">
        <f t="shared" si="24"/>
        <v>O5M3K1IZGXEVCTAR8</v>
      </c>
    </row>
    <row r="387" spans="1:16" x14ac:dyDescent="0.35">
      <c r="A387" s="18">
        <v>41852</v>
      </c>
      <c r="B387" s="18" t="s">
        <v>593</v>
      </c>
      <c r="C387" s="14" t="s">
        <v>303</v>
      </c>
      <c r="D387" s="15">
        <v>7</v>
      </c>
      <c r="E387" s="15"/>
      <c r="F387" s="15" t="s">
        <v>61</v>
      </c>
      <c r="G387" s="15">
        <v>1741</v>
      </c>
      <c r="H387" s="15" t="s">
        <v>170</v>
      </c>
      <c r="I387" s="16">
        <v>29630</v>
      </c>
      <c r="J387" s="15">
        <v>3</v>
      </c>
      <c r="K387" s="17" t="s">
        <v>304</v>
      </c>
      <c r="L387" s="1" t="str">
        <f t="shared" si="28"/>
        <v>0HYFWDUBS9Q7O5M3K1IZ</v>
      </c>
      <c r="M387" s="2" t="str">
        <f>"DUBS9Q7O5M3K1IZ"</f>
        <v>DUBS9Q7O5M3K1IZ</v>
      </c>
      <c r="N387" s="1" t="s">
        <v>64</v>
      </c>
      <c r="O387" s="1">
        <v>8529</v>
      </c>
      <c r="P387" s="2" t="str">
        <f t="shared" si="24"/>
        <v>GXEVCTAR8P6N4L2</v>
      </c>
    </row>
    <row r="388" spans="1:16" x14ac:dyDescent="0.35">
      <c r="A388" s="18">
        <v>17418</v>
      </c>
      <c r="B388" s="18" t="s">
        <v>593</v>
      </c>
      <c r="C388" s="14" t="s">
        <v>305</v>
      </c>
      <c r="D388" s="15">
        <v>3</v>
      </c>
      <c r="E388" s="15"/>
      <c r="F388" s="15" t="s">
        <v>61</v>
      </c>
      <c r="G388" s="15">
        <v>6307</v>
      </c>
      <c r="H388" s="15" t="s">
        <v>170</v>
      </c>
      <c r="I388" s="16">
        <v>85296</v>
      </c>
      <c r="J388" s="15">
        <v>9</v>
      </c>
      <c r="K388" s="17" t="s">
        <v>306</v>
      </c>
      <c r="L388" s="1" t="str">
        <f t="shared" si="28"/>
        <v>S9Q7O5M3K1IZGXEVCTAR</v>
      </c>
      <c r="M388" s="2" t="str">
        <f>"5M3K1IZGXEVCTAR8P"</f>
        <v>5M3K1IZGXEVCTAR8P</v>
      </c>
      <c r="N388" s="1" t="s">
        <v>64</v>
      </c>
      <c r="O388" s="1">
        <v>4185</v>
      </c>
      <c r="P388" s="2" t="str">
        <f t="shared" si="24"/>
        <v>8P6N4L2J0HYFWDUBS</v>
      </c>
    </row>
    <row r="389" spans="1:16" x14ac:dyDescent="0.35">
      <c r="A389" s="18">
        <v>63074</v>
      </c>
      <c r="B389" s="18" t="s">
        <v>593</v>
      </c>
      <c r="C389" s="14" t="s">
        <v>307</v>
      </c>
      <c r="D389" s="15">
        <v>9</v>
      </c>
      <c r="E389" s="15"/>
      <c r="F389" s="15" t="s">
        <v>61</v>
      </c>
      <c r="G389" s="15">
        <v>2963</v>
      </c>
      <c r="H389" s="15" t="s">
        <v>170</v>
      </c>
      <c r="I389" s="16">
        <v>41852</v>
      </c>
      <c r="J389" s="15">
        <v>5</v>
      </c>
      <c r="K389" s="17" t="s">
        <v>308</v>
      </c>
      <c r="L389" s="1" t="str">
        <f t="shared" si="28"/>
        <v>K1IZGXEVCTAR8P6N4L2J</v>
      </c>
      <c r="M389" s="2" t="str">
        <f>"XEVCTAR8P6N4L2J0HY"</f>
        <v>XEVCTAR8P6N4L2J0HY</v>
      </c>
      <c r="N389" s="1" t="s">
        <v>64</v>
      </c>
      <c r="O389" s="1">
        <v>1741</v>
      </c>
      <c r="P389" s="2" t="str">
        <f t="shared" si="24"/>
        <v>0HYFWDUBS9Q7O5M3K1</v>
      </c>
    </row>
    <row r="390" spans="1:16" x14ac:dyDescent="0.35">
      <c r="A390" s="18">
        <v>29630</v>
      </c>
      <c r="B390" s="18" t="s">
        <v>593</v>
      </c>
      <c r="C390" s="14" t="s">
        <v>309</v>
      </c>
      <c r="D390" s="15">
        <v>5</v>
      </c>
      <c r="E390" s="15"/>
      <c r="F390" s="15" t="s">
        <v>61</v>
      </c>
      <c r="G390" s="15">
        <v>8529</v>
      </c>
      <c r="H390" s="15" t="s">
        <v>170</v>
      </c>
      <c r="I390" s="16">
        <v>17418</v>
      </c>
      <c r="J390" s="15">
        <v>1</v>
      </c>
      <c r="K390" s="17" t="s">
        <v>310</v>
      </c>
      <c r="L390" s="1" t="str">
        <f t="shared" si="28"/>
        <v>CTAR8P6N4L2J0HYFWDUB</v>
      </c>
      <c r="M390" s="2" t="str">
        <f>"P6N4L2J0HYFWDUBS9"</f>
        <v>P6N4L2J0HYFWDUBS9</v>
      </c>
      <c r="N390" s="1" t="s">
        <v>64</v>
      </c>
      <c r="O390" s="1">
        <v>6307</v>
      </c>
      <c r="P390" s="2" t="str">
        <f t="shared" si="24"/>
        <v>S9Q7O5M3K1IZGXEVC</v>
      </c>
    </row>
    <row r="391" spans="1:16" x14ac:dyDescent="0.35">
      <c r="A391" s="18">
        <v>85296</v>
      </c>
      <c r="B391" s="18" t="s">
        <v>593</v>
      </c>
      <c r="C391" s="14" t="s">
        <v>311</v>
      </c>
      <c r="D391" s="15">
        <v>1</v>
      </c>
      <c r="E391" s="15"/>
      <c r="F391" s="15" t="s">
        <v>61</v>
      </c>
      <c r="G391" s="15">
        <v>4185</v>
      </c>
      <c r="H391" s="15" t="s">
        <v>170</v>
      </c>
      <c r="I391" s="16">
        <v>63074</v>
      </c>
      <c r="J391" s="15">
        <v>7</v>
      </c>
      <c r="K391" s="17" t="s">
        <v>312</v>
      </c>
      <c r="L391" s="1" t="str">
        <f t="shared" si="28"/>
        <v>4L2J0HYFWDUBS9Q7O5M3</v>
      </c>
      <c r="M391" s="2" t="str">
        <f>"HYFWDUBS9Q7O5M3K1"</f>
        <v>HYFWDUBS9Q7O5M3K1</v>
      </c>
      <c r="N391" s="1" t="s">
        <v>64</v>
      </c>
      <c r="O391" s="1">
        <v>2963</v>
      </c>
      <c r="P391" s="2" t="str">
        <f t="shared" si="24"/>
        <v>K1IZGXEVCTAR8P6N4</v>
      </c>
    </row>
    <row r="392" spans="1:16" x14ac:dyDescent="0.35">
      <c r="A392" s="18">
        <v>41852</v>
      </c>
      <c r="B392" s="18" t="s">
        <v>593</v>
      </c>
      <c r="C392" s="14" t="s">
        <v>313</v>
      </c>
      <c r="D392" s="15">
        <v>7</v>
      </c>
      <c r="E392" s="15"/>
      <c r="F392" s="15" t="s">
        <v>61</v>
      </c>
      <c r="G392" s="15">
        <v>1741</v>
      </c>
      <c r="H392" s="15" t="s">
        <v>170</v>
      </c>
      <c r="I392" s="16">
        <v>29630</v>
      </c>
      <c r="J392" s="15">
        <v>3</v>
      </c>
      <c r="K392" s="17" t="s">
        <v>314</v>
      </c>
      <c r="L392" s="1" t="str">
        <f t="shared" si="28"/>
        <v>WDUBS9Q7O5M3K1IZGXEV</v>
      </c>
      <c r="M392" s="2" t="str">
        <f>"9Q7O5M3K1IZGXEVCT"</f>
        <v>9Q7O5M3K1IZGXEVCT</v>
      </c>
      <c r="N392" s="1" t="s">
        <v>64</v>
      </c>
      <c r="O392" s="1">
        <v>8529</v>
      </c>
      <c r="P392" s="2" t="str">
        <f t="shared" si="24"/>
        <v>CTAR8P6N4L2J0HYFW</v>
      </c>
    </row>
    <row r="393" spans="1:16" x14ac:dyDescent="0.35">
      <c r="A393" s="18">
        <v>17418</v>
      </c>
      <c r="B393" s="18" t="s">
        <v>593</v>
      </c>
      <c r="C393" s="14" t="s">
        <v>315</v>
      </c>
      <c r="D393" s="15">
        <v>3</v>
      </c>
      <c r="E393" s="15"/>
      <c r="F393" s="15" t="s">
        <v>61</v>
      </c>
      <c r="G393" s="15">
        <v>6307</v>
      </c>
      <c r="H393" s="15" t="s">
        <v>68</v>
      </c>
      <c r="I393" s="16">
        <v>85296</v>
      </c>
      <c r="J393" s="15">
        <v>9</v>
      </c>
      <c r="K393" s="17" t="s">
        <v>316</v>
      </c>
      <c r="M393" s="2" t="str">
        <f>"O5M3"</f>
        <v/>
      </c>
      <c r="P393" s="2" t="str">
        <f t="shared" si="24"/>
        <v/>
      </c>
    </row>
    <row r="394" spans="1:16" x14ac:dyDescent="0.35">
      <c r="A394" s="18">
        <v>30741</v>
      </c>
      <c r="B394" s="18" t="s">
        <v>593</v>
      </c>
      <c r="C394" s="14" t="s">
        <v>317</v>
      </c>
      <c r="D394" s="15">
        <v>6</v>
      </c>
      <c r="E394" s="15"/>
      <c r="F394" s="15" t="s">
        <v>61</v>
      </c>
      <c r="G394" s="15">
        <v>9630</v>
      </c>
      <c r="H394" s="15" t="s">
        <v>68</v>
      </c>
      <c r="I394" s="16">
        <v>18529</v>
      </c>
      <c r="J394" s="15">
        <v>2</v>
      </c>
      <c r="K394" s="17" t="s">
        <v>318</v>
      </c>
      <c r="M394" s="2" t="str">
        <f>"DUBS"</f>
        <v/>
      </c>
      <c r="P394" s="2" t="str">
        <f t="shared" si="24"/>
        <v/>
      </c>
    </row>
    <row r="395" spans="1:16" x14ac:dyDescent="0.35">
      <c r="A395" s="18">
        <v>63074</v>
      </c>
      <c r="B395" s="18" t="s">
        <v>593</v>
      </c>
      <c r="C395" s="14" t="s">
        <v>319</v>
      </c>
      <c r="D395" s="15">
        <v>9</v>
      </c>
      <c r="E395" s="15"/>
      <c r="F395" s="15" t="s">
        <v>61</v>
      </c>
      <c r="G395" s="15">
        <v>2963</v>
      </c>
      <c r="H395" s="15" t="s">
        <v>68</v>
      </c>
      <c r="I395" s="16">
        <v>41852</v>
      </c>
      <c r="J395" s="15">
        <v>5</v>
      </c>
      <c r="K395" s="17" t="s">
        <v>320</v>
      </c>
      <c r="M395" s="2" t="str">
        <f>"2J0H"</f>
        <v/>
      </c>
      <c r="P395" s="2" t="str">
        <f t="shared" si="24"/>
        <v/>
      </c>
    </row>
    <row r="396" spans="1:16" x14ac:dyDescent="0.35">
      <c r="A396" s="18">
        <v>96307</v>
      </c>
      <c r="B396" s="18" t="s">
        <v>593</v>
      </c>
      <c r="C396" s="14" t="s">
        <v>321</v>
      </c>
      <c r="D396" s="15">
        <v>2</v>
      </c>
      <c r="E396" s="15"/>
      <c r="F396" s="15" t="s">
        <v>61</v>
      </c>
      <c r="G396" s="15">
        <v>5296</v>
      </c>
      <c r="H396" s="15" t="s">
        <v>68</v>
      </c>
      <c r="I396" s="16">
        <v>74185</v>
      </c>
      <c r="J396" s="15">
        <v>8</v>
      </c>
      <c r="K396" s="17" t="s">
        <v>322</v>
      </c>
      <c r="M396" s="2" t="str">
        <f>"R8P6"</f>
        <v/>
      </c>
      <c r="P396" s="2" t="str">
        <f t="shared" si="24"/>
        <v/>
      </c>
    </row>
    <row r="397" spans="1:16" x14ac:dyDescent="0.35">
      <c r="A397" s="18">
        <v>29630</v>
      </c>
      <c r="B397" s="18" t="s">
        <v>593</v>
      </c>
      <c r="C397" s="14" t="s">
        <v>323</v>
      </c>
      <c r="D397" s="15">
        <v>5</v>
      </c>
      <c r="E397" s="15"/>
      <c r="F397" s="15" t="s">
        <v>61</v>
      </c>
      <c r="G397" s="15">
        <v>8529</v>
      </c>
      <c r="H397" s="15" t="s">
        <v>68</v>
      </c>
      <c r="I397" s="16">
        <v>17418</v>
      </c>
      <c r="J397" s="15">
        <v>1</v>
      </c>
      <c r="K397" s="17" t="s">
        <v>324</v>
      </c>
      <c r="M397" s="2" t="str">
        <f>"GXEV"</f>
        <v/>
      </c>
      <c r="P397" s="2" t="str">
        <f t="shared" si="24"/>
        <v/>
      </c>
    </row>
    <row r="398" spans="1:16" x14ac:dyDescent="0.35">
      <c r="A398" s="18">
        <v>52963</v>
      </c>
      <c r="B398" s="18" t="s">
        <v>593</v>
      </c>
      <c r="C398" s="14" t="s">
        <v>325</v>
      </c>
      <c r="D398" s="15">
        <v>8</v>
      </c>
      <c r="E398" s="15"/>
      <c r="F398" s="15" t="s">
        <v>61</v>
      </c>
      <c r="G398" s="15">
        <v>1852</v>
      </c>
      <c r="H398" s="15" t="s">
        <v>68</v>
      </c>
      <c r="I398" s="16">
        <v>30741</v>
      </c>
      <c r="J398" s="15">
        <v>4</v>
      </c>
      <c r="K398" s="17" t="s">
        <v>326</v>
      </c>
      <c r="M398" s="2" t="str">
        <f>"5M3K"</f>
        <v/>
      </c>
      <c r="P398" s="2" t="str">
        <f t="shared" si="24"/>
        <v/>
      </c>
    </row>
    <row r="399" spans="1:16" x14ac:dyDescent="0.35">
      <c r="A399" s="18">
        <v>85296</v>
      </c>
      <c r="B399" s="18" t="s">
        <v>593</v>
      </c>
      <c r="C399" s="14" t="s">
        <v>327</v>
      </c>
      <c r="D399" s="15">
        <v>1</v>
      </c>
      <c r="E399" s="15"/>
      <c r="F399" s="15" t="s">
        <v>61</v>
      </c>
      <c r="G399" s="15">
        <v>4185</v>
      </c>
      <c r="H399" s="15" t="s">
        <v>170</v>
      </c>
      <c r="I399" s="16">
        <v>63074</v>
      </c>
      <c r="J399" s="15">
        <v>7</v>
      </c>
      <c r="K399" s="17" t="s">
        <v>328</v>
      </c>
      <c r="L399" s="1" t="str">
        <f>"UBS9Q7O5M3K1IZGXE"</f>
        <v>UBS9Q7O5M3K1IZGXE</v>
      </c>
      <c r="M399" s="2" t="str">
        <f>"7O5M3K1IZGX"</f>
        <v>7O5M3K1IZGX</v>
      </c>
      <c r="N399" s="1" t="s">
        <v>102</v>
      </c>
      <c r="O399" s="1">
        <v>29</v>
      </c>
      <c r="P399" s="2" t="str">
        <f t="shared" si="24"/>
        <v>AR8P6N4L2</v>
      </c>
    </row>
    <row r="400" spans="1:16" x14ac:dyDescent="0.35">
      <c r="A400" s="18">
        <v>41852</v>
      </c>
      <c r="B400" s="18" t="s">
        <v>593</v>
      </c>
      <c r="C400" s="14" t="s">
        <v>329</v>
      </c>
      <c r="D400" s="15">
        <v>7</v>
      </c>
      <c r="E400" s="15"/>
      <c r="F400" s="15" t="s">
        <v>61</v>
      </c>
      <c r="G400" s="15">
        <v>1741</v>
      </c>
      <c r="H400" s="15" t="s">
        <v>68</v>
      </c>
      <c r="I400" s="16">
        <v>29630</v>
      </c>
      <c r="J400" s="15">
        <v>3</v>
      </c>
      <c r="K400" s="17" t="s">
        <v>330</v>
      </c>
      <c r="M400" s="2" t="str">
        <f>"M3K1"</f>
        <v/>
      </c>
      <c r="P400" s="2" t="str">
        <f t="shared" si="24"/>
        <v/>
      </c>
    </row>
    <row r="401" spans="1:16" x14ac:dyDescent="0.35">
      <c r="A401" s="18">
        <v>74185</v>
      </c>
      <c r="B401" s="18" t="s">
        <v>593</v>
      </c>
      <c r="C401" s="14" t="s">
        <v>331</v>
      </c>
      <c r="D401" s="15">
        <v>1</v>
      </c>
      <c r="E401" s="15"/>
      <c r="F401" s="15" t="s">
        <v>61</v>
      </c>
      <c r="G401" s="15">
        <v>3074</v>
      </c>
      <c r="H401" s="15" t="s">
        <v>170</v>
      </c>
      <c r="I401" s="16">
        <v>52963</v>
      </c>
      <c r="J401" s="15">
        <v>6</v>
      </c>
      <c r="K401" s="17" t="s">
        <v>332</v>
      </c>
      <c r="L401" s="1" t="str">
        <f>"BS9Q7O5M3K1IZGXEVCTA"</f>
        <v>BS9Q7O5M3K1IZGXEVCTA</v>
      </c>
      <c r="M401" s="2" t="str">
        <f>"O5M3K1IZGXEVCTA"</f>
        <v>O5M3K1IZGXEVCTA</v>
      </c>
      <c r="N401" s="1" t="s">
        <v>64</v>
      </c>
      <c r="O401" s="1">
        <v>1852</v>
      </c>
      <c r="P401" s="2" t="str">
        <f t="shared" si="24"/>
        <v>R8P6N4L2J0HYFWD</v>
      </c>
    </row>
    <row r="402" spans="1:16" x14ac:dyDescent="0.35">
      <c r="A402" s="18">
        <v>30741</v>
      </c>
      <c r="B402" s="18" t="s">
        <v>593</v>
      </c>
      <c r="C402" s="14" t="s">
        <v>333</v>
      </c>
      <c r="D402" s="15">
        <v>6</v>
      </c>
      <c r="E402" s="15"/>
      <c r="F402" s="15" t="s">
        <v>61</v>
      </c>
      <c r="G402" s="15">
        <v>9630</v>
      </c>
      <c r="H402" s="15" t="s">
        <v>170</v>
      </c>
      <c r="I402" s="16">
        <v>18529</v>
      </c>
      <c r="J402" s="15">
        <v>2</v>
      </c>
      <c r="K402" s="17" t="s">
        <v>334</v>
      </c>
      <c r="L402" s="1" t="str">
        <f>"3K1IZGXEVCTAR8P6N4L2"</f>
        <v>3K1IZGXEVCTAR8P6N4L2</v>
      </c>
      <c r="M402" s="2" t="str">
        <f>"GXEVCTAR8P6N4L2J0"</f>
        <v>GXEVCTAR8P6N4L2J0</v>
      </c>
      <c r="N402" s="1" t="s">
        <v>64</v>
      </c>
      <c r="O402" s="1">
        <v>7418</v>
      </c>
      <c r="P402" s="2" t="str">
        <f t="shared" si="24"/>
        <v>J0HYFWDUBS9Q7O5M3</v>
      </c>
    </row>
    <row r="403" spans="1:16" x14ac:dyDescent="0.35">
      <c r="A403" s="18">
        <v>96307</v>
      </c>
      <c r="B403" s="18" t="s">
        <v>593</v>
      </c>
      <c r="C403" s="14" t="s">
        <v>335</v>
      </c>
      <c r="D403" s="15">
        <v>2</v>
      </c>
      <c r="E403" s="15"/>
      <c r="F403" s="15" t="s">
        <v>61</v>
      </c>
      <c r="G403" s="15">
        <v>5296</v>
      </c>
      <c r="H403" s="15" t="s">
        <v>68</v>
      </c>
      <c r="I403" s="16">
        <v>74185</v>
      </c>
      <c r="J403" s="15">
        <v>8</v>
      </c>
      <c r="K403" s="17" t="s">
        <v>336</v>
      </c>
      <c r="M403" s="2" t="str">
        <f>"VCTA"</f>
        <v/>
      </c>
      <c r="P403" s="2" t="str">
        <f t="shared" si="24"/>
        <v/>
      </c>
    </row>
    <row r="404" spans="1:16" x14ac:dyDescent="0.35">
      <c r="A404" s="18">
        <v>29630</v>
      </c>
      <c r="B404" s="18" t="s">
        <v>593</v>
      </c>
      <c r="C404" s="14" t="s">
        <v>337</v>
      </c>
      <c r="D404" s="15">
        <v>5</v>
      </c>
      <c r="E404" s="15"/>
      <c r="F404" s="15" t="s">
        <v>61</v>
      </c>
      <c r="G404" s="15">
        <v>8529</v>
      </c>
      <c r="H404" s="15" t="s">
        <v>170</v>
      </c>
      <c r="I404" s="16">
        <v>17418</v>
      </c>
      <c r="J404" s="15">
        <v>1</v>
      </c>
      <c r="K404" s="17" t="s">
        <v>338</v>
      </c>
      <c r="L404" s="1" t="str">
        <f>"K1IZGXEVCTAR8P6N4L2J"</f>
        <v>K1IZGXEVCTAR8P6N4L2J</v>
      </c>
      <c r="M404" s="2" t="str">
        <f>"XEVCTAR8P6N4L2J0H"</f>
        <v>XEVCTAR8P6N4L2J0H</v>
      </c>
      <c r="N404" s="1" t="s">
        <v>64</v>
      </c>
      <c r="O404" s="1">
        <v>6307</v>
      </c>
      <c r="P404" s="2" t="str">
        <f t="shared" si="24"/>
        <v>0HYFWDUBS9Q7O5M3K</v>
      </c>
    </row>
    <row r="405" spans="1:16" x14ac:dyDescent="0.35">
      <c r="A405" s="18">
        <v>85296</v>
      </c>
      <c r="B405" s="18" t="s">
        <v>593</v>
      </c>
      <c r="C405" s="14" t="s">
        <v>339</v>
      </c>
      <c r="D405" s="15">
        <v>1</v>
      </c>
      <c r="E405" s="15"/>
      <c r="F405" s="15" t="s">
        <v>61</v>
      </c>
      <c r="G405" s="15">
        <v>4185</v>
      </c>
      <c r="H405" s="15" t="s">
        <v>170</v>
      </c>
      <c r="I405" s="16">
        <v>63074</v>
      </c>
      <c r="J405" s="15">
        <v>7</v>
      </c>
      <c r="K405" s="17" t="s">
        <v>340</v>
      </c>
      <c r="L405" s="1" t="str">
        <f>"CTAR8P6N4L2J0HYFWDUB"</f>
        <v>CTAR8P6N4L2J0HYFWDUB</v>
      </c>
      <c r="M405" s="2" t="str">
        <f>"P6N4L2J0HYFWDUBS9"</f>
        <v>P6N4L2J0HYFWDUBS9</v>
      </c>
      <c r="N405" s="1" t="s">
        <v>64</v>
      </c>
      <c r="O405" s="1">
        <v>2963</v>
      </c>
      <c r="P405" s="2" t="str">
        <f t="shared" si="24"/>
        <v>S9Q7O5M3K1IZGXEVC</v>
      </c>
    </row>
    <row r="406" spans="1:16" x14ac:dyDescent="0.35">
      <c r="A406" s="18">
        <v>41852</v>
      </c>
      <c r="B406" s="18" t="s">
        <v>593</v>
      </c>
      <c r="C406" s="14" t="s">
        <v>341</v>
      </c>
      <c r="D406" s="15">
        <v>7</v>
      </c>
      <c r="E406" s="15"/>
      <c r="F406" s="15" t="s">
        <v>61</v>
      </c>
      <c r="G406" s="15">
        <v>1741</v>
      </c>
      <c r="H406" s="15" t="s">
        <v>68</v>
      </c>
      <c r="I406" s="16">
        <v>29630</v>
      </c>
      <c r="J406" s="15">
        <v>3</v>
      </c>
      <c r="K406" s="17" t="s">
        <v>342</v>
      </c>
      <c r="M406" s="2" t="str">
        <f>"4L2J"</f>
        <v/>
      </c>
      <c r="P406" s="2" t="str">
        <f t="shared" si="24"/>
        <v/>
      </c>
    </row>
    <row r="407" spans="1:16" x14ac:dyDescent="0.35">
      <c r="A407" s="18">
        <v>74185</v>
      </c>
      <c r="B407" s="18" t="s">
        <v>593</v>
      </c>
      <c r="C407" s="14" t="s">
        <v>343</v>
      </c>
      <c r="D407" s="15">
        <v>1</v>
      </c>
      <c r="E407" s="15"/>
      <c r="F407" s="15" t="s">
        <v>61</v>
      </c>
      <c r="G407" s="15">
        <v>3074</v>
      </c>
      <c r="H407" s="15" t="s">
        <v>170</v>
      </c>
      <c r="I407" s="16">
        <v>52963</v>
      </c>
      <c r="J407" s="15">
        <v>6</v>
      </c>
      <c r="K407" s="17" t="s">
        <v>344</v>
      </c>
      <c r="L407" s="1" t="str">
        <f>"TAR8P6N4L2J0HYFWDUBS"</f>
        <v>TAR8P6N4L2J0HYFWDUBS</v>
      </c>
      <c r="M407" s="2" t="str">
        <f>"6N4L2J0HYFWDUBS9Q"</f>
        <v>6N4L2J0HYFWDUBS9Q</v>
      </c>
      <c r="N407" s="1" t="s">
        <v>64</v>
      </c>
      <c r="O407" s="1">
        <v>1852</v>
      </c>
      <c r="P407" s="2" t="str">
        <f t="shared" si="24"/>
        <v>9Q7O5M3K1IZGXEVCT</v>
      </c>
    </row>
    <row r="408" spans="1:16" x14ac:dyDescent="0.35">
      <c r="A408" s="18">
        <v>30741</v>
      </c>
      <c r="B408" s="18" t="s">
        <v>593</v>
      </c>
      <c r="C408" s="14" t="s">
        <v>345</v>
      </c>
      <c r="D408" s="15">
        <v>6</v>
      </c>
      <c r="E408" s="15"/>
      <c r="F408" s="15" t="s">
        <v>61</v>
      </c>
      <c r="G408" s="15">
        <v>9630</v>
      </c>
      <c r="H408" s="15" t="s">
        <v>68</v>
      </c>
      <c r="I408" s="16">
        <v>18529</v>
      </c>
      <c r="J408" s="15">
        <v>2</v>
      </c>
      <c r="K408" s="17" t="s">
        <v>346</v>
      </c>
      <c r="M408" s="2" t="str">
        <f>"L2J0"</f>
        <v/>
      </c>
      <c r="P408" s="2" t="str">
        <f t="shared" si="24"/>
        <v/>
      </c>
    </row>
    <row r="409" spans="1:16" x14ac:dyDescent="0.35">
      <c r="A409" s="18">
        <v>63074</v>
      </c>
      <c r="B409" s="18" t="s">
        <v>593</v>
      </c>
      <c r="C409" s="14" t="s">
        <v>347</v>
      </c>
      <c r="D409" s="15">
        <v>9</v>
      </c>
      <c r="E409" s="15"/>
      <c r="F409" s="15" t="s">
        <v>61</v>
      </c>
      <c r="G409" s="15">
        <v>2963</v>
      </c>
      <c r="H409" s="15" t="s">
        <v>170</v>
      </c>
      <c r="I409" s="16">
        <v>41852</v>
      </c>
      <c r="J409" s="15">
        <v>5</v>
      </c>
      <c r="K409" s="17" t="s">
        <v>348</v>
      </c>
      <c r="L409" s="1" t="str">
        <f t="shared" ref="L409:L411" si="29">"AR8P6N4L2J0HYFWDUBS9"</f>
        <v>AR8P6N4L2J0HYFWDUBS9</v>
      </c>
      <c r="M409" s="2" t="str">
        <f>"N4L2J0HYFWDUBS9Q7"</f>
        <v>N4L2J0HYFWDUBS9Q7</v>
      </c>
      <c r="N409" s="1" t="s">
        <v>64</v>
      </c>
      <c r="O409" s="1">
        <v>1741</v>
      </c>
      <c r="P409" s="2" t="str">
        <f t="shared" si="24"/>
        <v>Q7O5M3K1IZGXEVCTA</v>
      </c>
    </row>
    <row r="410" spans="1:16" x14ac:dyDescent="0.35">
      <c r="A410" s="18">
        <v>29630</v>
      </c>
      <c r="B410" s="18" t="s">
        <v>593</v>
      </c>
      <c r="C410" s="14" t="s">
        <v>349</v>
      </c>
      <c r="D410" s="15">
        <v>5</v>
      </c>
      <c r="E410" s="15"/>
      <c r="F410" s="15" t="s">
        <v>61</v>
      </c>
      <c r="G410" s="15">
        <v>8529</v>
      </c>
      <c r="H410" s="15" t="s">
        <v>170</v>
      </c>
      <c r="I410" s="16">
        <v>17418</v>
      </c>
      <c r="J410" s="15">
        <v>1</v>
      </c>
      <c r="K410" s="17" t="s">
        <v>350</v>
      </c>
      <c r="L410" s="1" t="str">
        <f t="shared" si="29"/>
        <v>2J0HYFWDUBS9Q7O5M3K1</v>
      </c>
      <c r="M410" s="2" t="str">
        <f>"FWDUBS9Q7O5M3K1I"</f>
        <v>FWDUBS9Q7O5M3K1I</v>
      </c>
      <c r="N410" s="1" t="s">
        <v>64</v>
      </c>
      <c r="O410" s="1">
        <v>6307</v>
      </c>
      <c r="P410" s="2" t="str">
        <f t="shared" si="24"/>
        <v>IZGXEVCTAR8P6N4L</v>
      </c>
    </row>
    <row r="411" spans="1:16" x14ac:dyDescent="0.35">
      <c r="A411" s="18">
        <v>85296</v>
      </c>
      <c r="B411" s="18" t="s">
        <v>593</v>
      </c>
      <c r="C411" s="14" t="s">
        <v>351</v>
      </c>
      <c r="D411" s="15">
        <v>1</v>
      </c>
      <c r="E411" s="15"/>
      <c r="F411" s="15" t="s">
        <v>61</v>
      </c>
      <c r="G411" s="15">
        <v>4185</v>
      </c>
      <c r="H411" s="15" t="s">
        <v>170</v>
      </c>
      <c r="I411" s="16">
        <v>63074</v>
      </c>
      <c r="J411" s="15">
        <v>7</v>
      </c>
      <c r="K411" s="17" t="s">
        <v>352</v>
      </c>
      <c r="L411" s="1" t="str">
        <f t="shared" si="29"/>
        <v>UBS9Q7O5M3K1IZGXEVCT</v>
      </c>
      <c r="M411" s="2" t="str">
        <f>"7O5M3K1IZGXEVCTAR"</f>
        <v>7O5M3K1IZGXEVCTAR</v>
      </c>
      <c r="N411" s="1" t="s">
        <v>64</v>
      </c>
      <c r="O411" s="1">
        <v>2963</v>
      </c>
      <c r="P411" s="2" t="str">
        <f t="shared" si="24"/>
        <v>AR8P6N4L2J0HYFWDU</v>
      </c>
    </row>
    <row r="412" spans="1:16" x14ac:dyDescent="0.35">
      <c r="A412" s="18">
        <v>41852</v>
      </c>
      <c r="B412" s="18" t="s">
        <v>593</v>
      </c>
      <c r="C412" s="14" t="s">
        <v>353</v>
      </c>
      <c r="D412" s="15">
        <v>7</v>
      </c>
      <c r="E412" s="15"/>
      <c r="F412" s="15" t="s">
        <v>61</v>
      </c>
      <c r="G412" s="15">
        <v>1741</v>
      </c>
      <c r="H412" s="15" t="s">
        <v>68</v>
      </c>
      <c r="I412" s="16">
        <v>29630</v>
      </c>
      <c r="J412" s="15">
        <v>3</v>
      </c>
      <c r="K412" s="17" t="s">
        <v>354</v>
      </c>
      <c r="M412" s="2" t="str">
        <f>"M3K1"</f>
        <v/>
      </c>
      <c r="P412" s="2" t="str">
        <f t="shared" si="24"/>
        <v/>
      </c>
    </row>
    <row r="413" spans="1:16" x14ac:dyDescent="0.35">
      <c r="A413" s="18">
        <v>74185</v>
      </c>
      <c r="B413" s="18" t="s">
        <v>593</v>
      </c>
      <c r="C413" s="14" t="s">
        <v>355</v>
      </c>
      <c r="D413" s="15">
        <v>1</v>
      </c>
      <c r="E413" s="15"/>
      <c r="F413" s="15" t="s">
        <v>61</v>
      </c>
      <c r="G413" s="15">
        <v>3074</v>
      </c>
      <c r="H413" s="15" t="s">
        <v>68</v>
      </c>
      <c r="I413" s="16">
        <v>52963</v>
      </c>
      <c r="J413" s="15">
        <v>6</v>
      </c>
      <c r="K413" s="17" t="s">
        <v>356</v>
      </c>
      <c r="M413" s="2" t="str">
        <f>"BS9Q"</f>
        <v/>
      </c>
      <c r="P413" s="2" t="str">
        <f t="shared" si="24"/>
        <v/>
      </c>
    </row>
    <row r="414" spans="1:16" x14ac:dyDescent="0.35">
      <c r="A414" s="18">
        <v>17418</v>
      </c>
      <c r="B414" s="18" t="s">
        <v>593</v>
      </c>
      <c r="C414" s="14" t="s">
        <v>357</v>
      </c>
      <c r="D414" s="15">
        <v>3</v>
      </c>
      <c r="E414" s="15"/>
      <c r="F414" s="15" t="s">
        <v>61</v>
      </c>
      <c r="G414" s="15">
        <v>6307</v>
      </c>
      <c r="H414" s="15" t="s">
        <v>358</v>
      </c>
      <c r="I414" s="16">
        <v>85296</v>
      </c>
      <c r="J414" s="15">
        <v>9</v>
      </c>
      <c r="K414" s="17" t="s">
        <v>359</v>
      </c>
      <c r="L414" s="1" t="str">
        <f>"0HYFWDUBS9Q7O5M3K1IZ"</f>
        <v>0HYFWDUBS9Q7O5M3K1IZ</v>
      </c>
      <c r="M414" s="2" t="str">
        <f>"DUBS9Q7O5M3K1I"</f>
        <v>DUBS9Q7O5M3K1I</v>
      </c>
      <c r="N414" s="1" t="s">
        <v>64</v>
      </c>
      <c r="O414" s="1">
        <v>4185</v>
      </c>
      <c r="P414" s="2" t="str">
        <f t="shared" si="24"/>
        <v>GXEVCTAR8</v>
      </c>
    </row>
    <row r="415" spans="1:16" x14ac:dyDescent="0.35">
      <c r="A415" s="18">
        <v>63074</v>
      </c>
      <c r="B415" s="18" t="s">
        <v>593</v>
      </c>
      <c r="C415" s="14" t="s">
        <v>360</v>
      </c>
      <c r="D415" s="15">
        <v>9</v>
      </c>
      <c r="E415" s="15"/>
      <c r="F415" s="15" t="s">
        <v>61</v>
      </c>
      <c r="G415" s="15">
        <v>2963</v>
      </c>
      <c r="H415" s="15" t="s">
        <v>68</v>
      </c>
      <c r="I415" s="16">
        <v>41852</v>
      </c>
      <c r="J415" s="15">
        <v>5</v>
      </c>
      <c r="K415" s="17" t="s">
        <v>361</v>
      </c>
      <c r="M415" s="2" t="str">
        <f>"S9Q7"</f>
        <v/>
      </c>
      <c r="P415" s="2" t="str">
        <f t="shared" si="24"/>
        <v/>
      </c>
    </row>
    <row r="416" spans="1:16" x14ac:dyDescent="0.35">
      <c r="A416" s="18">
        <v>96307</v>
      </c>
      <c r="B416" s="18" t="s">
        <v>593</v>
      </c>
      <c r="C416" s="14" t="s">
        <v>362</v>
      </c>
      <c r="D416" s="15">
        <v>2</v>
      </c>
      <c r="E416" s="15"/>
      <c r="F416" s="15" t="s">
        <v>61</v>
      </c>
      <c r="G416" s="15">
        <v>5296</v>
      </c>
      <c r="H416" s="15" t="s">
        <v>358</v>
      </c>
      <c r="I416" s="16">
        <v>74185</v>
      </c>
      <c r="J416" s="15">
        <v>8</v>
      </c>
      <c r="K416" s="17" t="s">
        <v>363</v>
      </c>
      <c r="L416" s="1" t="str">
        <f>"HYFWDUBS9Q7O5M3K1IZG"</f>
        <v>HYFWDUBS9Q7O5M3K1IZG</v>
      </c>
      <c r="M416" s="2" t="str">
        <f>"UBS9Q7O5M3K1IZGX"</f>
        <v>UBS9Q7O5M3K1IZGX</v>
      </c>
      <c r="N416" s="1" t="s">
        <v>64</v>
      </c>
      <c r="O416" s="1">
        <v>3074</v>
      </c>
      <c r="P416" s="2" t="str">
        <f t="shared" ref="P416:P479" si="30">"XEVCTAR8P6N4L2J0"</f>
        <v>XEVCTAR8P6N4L2J0</v>
      </c>
    </row>
    <row r="417" spans="1:16" x14ac:dyDescent="0.35">
      <c r="A417" s="18">
        <v>52963</v>
      </c>
      <c r="B417" s="18" t="s">
        <v>593</v>
      </c>
      <c r="C417" s="14" t="s">
        <v>364</v>
      </c>
      <c r="D417" s="15">
        <v>8</v>
      </c>
      <c r="E417" s="15"/>
      <c r="F417" s="15" t="s">
        <v>61</v>
      </c>
      <c r="G417" s="15">
        <v>1852</v>
      </c>
      <c r="H417" s="15" t="s">
        <v>68</v>
      </c>
      <c r="I417" s="16">
        <v>30741</v>
      </c>
      <c r="J417" s="15">
        <v>4</v>
      </c>
      <c r="K417" s="17" t="s">
        <v>365</v>
      </c>
      <c r="M417" s="2" t="str">
        <f>"9Q7O"</f>
        <v/>
      </c>
      <c r="P417" s="2" t="str">
        <f t="shared" si="30"/>
        <v/>
      </c>
    </row>
    <row r="418" spans="1:16" x14ac:dyDescent="0.35">
      <c r="A418" s="18">
        <v>85296</v>
      </c>
      <c r="B418" s="18" t="s">
        <v>593</v>
      </c>
      <c r="C418" s="14" t="s">
        <v>366</v>
      </c>
      <c r="D418" s="15">
        <v>1</v>
      </c>
      <c r="E418" s="15"/>
      <c r="F418" s="15" t="s">
        <v>61</v>
      </c>
      <c r="G418" s="15">
        <v>4185</v>
      </c>
      <c r="H418" s="15" t="s">
        <v>358</v>
      </c>
      <c r="I418" s="16">
        <v>63074</v>
      </c>
      <c r="J418" s="15">
        <v>7</v>
      </c>
      <c r="K418" s="17" t="s">
        <v>367</v>
      </c>
      <c r="L418" s="1" t="str">
        <f t="shared" ref="L418:L424" si="31">"YFWDUBS9Q7O5M3K1IZGX"</f>
        <v>YFWDUBS9Q7O5M3K1IZGX</v>
      </c>
      <c r="M418" s="2" t="str">
        <f>"BS9Q7O5M3K1IZGXEV"</f>
        <v>BS9Q7O5M3K1IZGXEV</v>
      </c>
      <c r="N418" s="1" t="s">
        <v>64</v>
      </c>
      <c r="O418" s="1">
        <v>2963</v>
      </c>
      <c r="P418" s="2" t="str">
        <f t="shared" si="30"/>
        <v>EVCTAR8P6N4L2J0HY</v>
      </c>
    </row>
    <row r="419" spans="1:16" x14ac:dyDescent="0.35">
      <c r="A419" s="18">
        <v>41852</v>
      </c>
      <c r="B419" s="18" t="s">
        <v>593</v>
      </c>
      <c r="C419" s="14" t="s">
        <v>368</v>
      </c>
      <c r="D419" s="15">
        <v>7</v>
      </c>
      <c r="E419" s="15"/>
      <c r="F419" s="15" t="s">
        <v>61</v>
      </c>
      <c r="G419" s="15">
        <v>1741</v>
      </c>
      <c r="H419" s="15" t="s">
        <v>358</v>
      </c>
      <c r="I419" s="16">
        <v>29630</v>
      </c>
      <c r="J419" s="15">
        <v>3</v>
      </c>
      <c r="K419" s="17" t="s">
        <v>369</v>
      </c>
      <c r="L419" s="1" t="str">
        <f t="shared" si="31"/>
        <v>Q7O5M3K1IZGXEVCTAR8P</v>
      </c>
      <c r="M419" s="2" t="str">
        <f>"3K1IZGXEVCTAR8P6N"</f>
        <v>3K1IZGXEVCTAR8P6N</v>
      </c>
      <c r="N419" s="1" t="s">
        <v>64</v>
      </c>
      <c r="O419" s="1">
        <v>8529</v>
      </c>
      <c r="P419" s="2" t="str">
        <f t="shared" si="30"/>
        <v>6N4L2J0HYFWDUBS9Q</v>
      </c>
    </row>
    <row r="420" spans="1:16" x14ac:dyDescent="0.35">
      <c r="A420" s="18">
        <v>17418</v>
      </c>
      <c r="B420" s="18" t="s">
        <v>593</v>
      </c>
      <c r="C420" s="14" t="s">
        <v>370</v>
      </c>
      <c r="D420" s="15">
        <v>3</v>
      </c>
      <c r="E420" s="15"/>
      <c r="F420" s="15" t="s">
        <v>61</v>
      </c>
      <c r="G420" s="15">
        <v>6307</v>
      </c>
      <c r="H420" s="15" t="s">
        <v>68</v>
      </c>
      <c r="I420" s="16">
        <v>85296</v>
      </c>
      <c r="J420" s="15">
        <v>9</v>
      </c>
      <c r="K420" s="17" t="s">
        <v>371</v>
      </c>
      <c r="M420" s="2" t="str">
        <f>"IZGX"</f>
        <v/>
      </c>
      <c r="P420" s="2" t="str">
        <f t="shared" si="30"/>
        <v/>
      </c>
    </row>
    <row r="421" spans="1:16" x14ac:dyDescent="0.35">
      <c r="A421" s="18">
        <v>30741</v>
      </c>
      <c r="B421" s="18" t="s">
        <v>593</v>
      </c>
      <c r="C421" s="14" t="s">
        <v>372</v>
      </c>
      <c r="D421" s="15">
        <v>6</v>
      </c>
      <c r="E421" s="15"/>
      <c r="F421" s="15" t="s">
        <v>61</v>
      </c>
      <c r="G421" s="15">
        <v>9630</v>
      </c>
      <c r="H421" s="15" t="s">
        <v>358</v>
      </c>
      <c r="I421" s="16">
        <v>18529</v>
      </c>
      <c r="J421" s="15">
        <v>2</v>
      </c>
      <c r="K421" s="17" t="s">
        <v>373</v>
      </c>
      <c r="L421" s="1" t="str">
        <f t="shared" si="31"/>
        <v>7O5M3K1IZGXEVCTAR8P6</v>
      </c>
      <c r="M421" s="2" t="str">
        <f>"K1IZGXEVCTAR8P6N4"</f>
        <v>K1IZGXEVCTAR8P6N4</v>
      </c>
      <c r="N421" s="1" t="s">
        <v>64</v>
      </c>
      <c r="O421" s="1">
        <v>7418</v>
      </c>
      <c r="P421" s="2" t="str">
        <f t="shared" si="30"/>
        <v>N4L2J0HYFWDUBS9Q7</v>
      </c>
    </row>
    <row r="422" spans="1:16" x14ac:dyDescent="0.35">
      <c r="A422" s="18">
        <v>96307</v>
      </c>
      <c r="B422" s="18" t="s">
        <v>593</v>
      </c>
      <c r="C422" s="14" t="s">
        <v>374</v>
      </c>
      <c r="D422" s="15">
        <v>2</v>
      </c>
      <c r="E422" s="15"/>
      <c r="F422" s="15" t="s">
        <v>61</v>
      </c>
      <c r="G422" s="15">
        <v>5296</v>
      </c>
      <c r="H422" s="15" t="s">
        <v>68</v>
      </c>
      <c r="I422" s="16">
        <v>74185</v>
      </c>
      <c r="J422" s="15">
        <v>8</v>
      </c>
      <c r="K422" s="17" t="s">
        <v>375</v>
      </c>
      <c r="M422" s="2" t="str">
        <f>"ZGXE"</f>
        <v/>
      </c>
      <c r="P422" s="2" t="str">
        <f t="shared" si="30"/>
        <v/>
      </c>
    </row>
    <row r="423" spans="1:16" x14ac:dyDescent="0.35">
      <c r="A423" s="18">
        <v>29630</v>
      </c>
      <c r="B423" s="18" t="s">
        <v>593</v>
      </c>
      <c r="C423" s="14" t="s">
        <v>376</v>
      </c>
      <c r="D423" s="15">
        <v>5</v>
      </c>
      <c r="E423" s="15"/>
      <c r="F423" s="15" t="s">
        <v>61</v>
      </c>
      <c r="G423" s="15">
        <v>8529</v>
      </c>
      <c r="H423" s="15" t="s">
        <v>358</v>
      </c>
      <c r="I423" s="16">
        <v>17418</v>
      </c>
      <c r="J423" s="15">
        <v>1</v>
      </c>
      <c r="K423" s="17" t="s">
        <v>377</v>
      </c>
      <c r="L423" s="1" t="str">
        <f t="shared" si="31"/>
        <v>O5M3K1IZGXEVCTAR8</v>
      </c>
      <c r="M423" s="2" t="str">
        <f>"1IZGXEVCTAR"</f>
        <v>1IZGXEVCTAR</v>
      </c>
      <c r="N423" s="1" t="s">
        <v>102</v>
      </c>
      <c r="O423" s="1">
        <v>63</v>
      </c>
      <c r="P423" s="2" t="str">
        <f t="shared" si="30"/>
        <v>4L2J0HYFWDUBS9Q7O</v>
      </c>
    </row>
    <row r="424" spans="1:16" x14ac:dyDescent="0.35">
      <c r="A424" s="18">
        <v>85296</v>
      </c>
      <c r="B424" s="18" t="s">
        <v>593</v>
      </c>
      <c r="C424" s="14" t="s">
        <v>378</v>
      </c>
      <c r="D424" s="15">
        <v>1</v>
      </c>
      <c r="E424" s="15"/>
      <c r="F424" s="15" t="s">
        <v>61</v>
      </c>
      <c r="G424" s="15">
        <v>4185</v>
      </c>
      <c r="H424" s="15" t="s">
        <v>170</v>
      </c>
      <c r="I424" s="16">
        <v>63074</v>
      </c>
      <c r="J424" s="15">
        <v>7</v>
      </c>
      <c r="K424" s="17" t="s">
        <v>379</v>
      </c>
      <c r="L424" s="1" t="str">
        <f t="shared" si="31"/>
        <v>GXEVCTAR8P6N4L2J0HYF</v>
      </c>
      <c r="M424" s="2" t="str">
        <f>"TAR8P6N4L2J0HYFWD"</f>
        <v>TAR8P6N4L2J0HYFWD</v>
      </c>
      <c r="N424" s="1" t="s">
        <v>64</v>
      </c>
      <c r="O424" s="1">
        <v>2963</v>
      </c>
      <c r="P424" s="2" t="str">
        <f t="shared" si="30"/>
        <v>WDUBS9Q7O5M3K1IZG</v>
      </c>
    </row>
    <row r="425" spans="1:16" x14ac:dyDescent="0.35">
      <c r="A425" s="18">
        <v>41852</v>
      </c>
      <c r="B425" s="18" t="s">
        <v>593</v>
      </c>
      <c r="C425" s="14" t="s">
        <v>380</v>
      </c>
      <c r="D425" s="15">
        <v>7</v>
      </c>
      <c r="E425" s="15"/>
      <c r="F425" s="15" t="s">
        <v>61</v>
      </c>
      <c r="G425" s="15">
        <v>1741</v>
      </c>
      <c r="H425" s="15" t="s">
        <v>68</v>
      </c>
      <c r="I425" s="16">
        <v>29630</v>
      </c>
      <c r="J425" s="15">
        <v>3</v>
      </c>
      <c r="K425" s="17" t="s">
        <v>381</v>
      </c>
      <c r="M425" s="2" t="str">
        <f>"8P6N"</f>
        <v/>
      </c>
      <c r="P425" s="2" t="str">
        <f t="shared" si="30"/>
        <v/>
      </c>
    </row>
    <row r="426" spans="1:16" x14ac:dyDescent="0.35">
      <c r="A426" s="18">
        <v>74185</v>
      </c>
      <c r="B426" s="18" t="s">
        <v>593</v>
      </c>
      <c r="C426" s="14" t="s">
        <v>382</v>
      </c>
      <c r="D426" s="15">
        <v>1</v>
      </c>
      <c r="E426" s="15"/>
      <c r="F426" s="15" t="s">
        <v>61</v>
      </c>
      <c r="G426" s="15">
        <v>3074</v>
      </c>
      <c r="H426" s="15" t="s">
        <v>170</v>
      </c>
      <c r="I426" s="16">
        <v>52963</v>
      </c>
      <c r="J426" s="15">
        <v>6</v>
      </c>
      <c r="K426" s="17" t="s">
        <v>383</v>
      </c>
      <c r="L426" s="1" t="str">
        <f>"XEVCTAR8P6N4L2J0HYFWDU"</f>
        <v>XEVCTAR8P6N4L2J0HYFWDU</v>
      </c>
      <c r="M426" s="1" t="s">
        <v>384</v>
      </c>
      <c r="N426" s="1" t="s">
        <v>64</v>
      </c>
      <c r="O426" s="1">
        <v>185296</v>
      </c>
      <c r="P426" s="2" t="str">
        <f t="shared" si="30"/>
        <v>DUBS</v>
      </c>
    </row>
    <row r="427" spans="1:16" x14ac:dyDescent="0.35">
      <c r="A427" s="18">
        <v>30741</v>
      </c>
      <c r="B427" s="18" t="s">
        <v>593</v>
      </c>
      <c r="C427" s="14" t="s">
        <v>385</v>
      </c>
      <c r="D427" s="15">
        <v>6</v>
      </c>
      <c r="E427" s="15"/>
      <c r="F427" s="15" t="s">
        <v>61</v>
      </c>
      <c r="G427" s="15">
        <v>9630</v>
      </c>
      <c r="H427" s="15" t="s">
        <v>68</v>
      </c>
      <c r="I427" s="16">
        <v>18529</v>
      </c>
      <c r="J427" s="15">
        <v>2</v>
      </c>
      <c r="K427" s="17" t="s">
        <v>386</v>
      </c>
      <c r="M427" s="2" t="str">
        <f>"P6N4"</f>
        <v/>
      </c>
      <c r="P427" s="2" t="str">
        <f t="shared" si="30"/>
        <v/>
      </c>
    </row>
    <row r="428" spans="1:16" x14ac:dyDescent="0.35">
      <c r="A428" s="18">
        <v>63074</v>
      </c>
      <c r="B428" s="18" t="s">
        <v>593</v>
      </c>
      <c r="C428" s="14" t="s">
        <v>387</v>
      </c>
      <c r="D428" s="15">
        <v>9</v>
      </c>
      <c r="E428" s="15"/>
      <c r="F428" s="15" t="s">
        <v>61</v>
      </c>
      <c r="G428" s="15">
        <v>2963</v>
      </c>
      <c r="H428" s="15" t="s">
        <v>68</v>
      </c>
      <c r="I428" s="16">
        <v>41852</v>
      </c>
      <c r="J428" s="15">
        <v>5</v>
      </c>
      <c r="K428" s="17" t="s">
        <v>388</v>
      </c>
      <c r="M428" s="2" t="str">
        <f>"EVCT"</f>
        <v/>
      </c>
      <c r="P428" s="2" t="str">
        <f t="shared" si="30"/>
        <v/>
      </c>
    </row>
    <row r="429" spans="1:16" x14ac:dyDescent="0.35">
      <c r="A429" s="18">
        <v>96307</v>
      </c>
      <c r="B429" s="18" t="s">
        <v>593</v>
      </c>
      <c r="C429" s="14" t="s">
        <v>389</v>
      </c>
      <c r="D429" s="15">
        <v>2</v>
      </c>
      <c r="E429" s="15"/>
      <c r="F429" s="15" t="s">
        <v>61</v>
      </c>
      <c r="G429" s="15">
        <v>5296</v>
      </c>
      <c r="H429" s="15" t="s">
        <v>68</v>
      </c>
      <c r="I429" s="16">
        <v>74185</v>
      </c>
      <c r="J429" s="15">
        <v>8</v>
      </c>
      <c r="K429" s="17" t="s">
        <v>390</v>
      </c>
      <c r="M429" s="2" t="str">
        <f>"3K1I"</f>
        <v/>
      </c>
      <c r="P429" s="2" t="str">
        <f t="shared" si="30"/>
        <v/>
      </c>
    </row>
    <row r="430" spans="1:16" x14ac:dyDescent="0.35">
      <c r="A430" s="18">
        <v>29630</v>
      </c>
      <c r="B430" s="18" t="s">
        <v>593</v>
      </c>
      <c r="C430" s="14" t="s">
        <v>391</v>
      </c>
      <c r="D430" s="15">
        <v>5</v>
      </c>
      <c r="E430" s="15"/>
      <c r="F430" s="15" t="s">
        <v>61</v>
      </c>
      <c r="G430" s="15">
        <v>8529</v>
      </c>
      <c r="H430" s="15" t="s">
        <v>68</v>
      </c>
      <c r="I430" s="16">
        <v>17418</v>
      </c>
      <c r="J430" s="15">
        <v>1</v>
      </c>
      <c r="K430" s="17" t="s">
        <v>392</v>
      </c>
      <c r="M430" s="2" t="str">
        <f>"S9Q7"</f>
        <v/>
      </c>
      <c r="P430" s="2" t="str">
        <f t="shared" si="30"/>
        <v/>
      </c>
    </row>
    <row r="431" spans="1:16" x14ac:dyDescent="0.35">
      <c r="A431" s="18">
        <v>52963</v>
      </c>
      <c r="B431" s="18" t="s">
        <v>593</v>
      </c>
      <c r="C431" s="14" t="s">
        <v>393</v>
      </c>
      <c r="D431" s="15">
        <v>8</v>
      </c>
      <c r="E431" s="15"/>
      <c r="F431" s="15" t="s">
        <v>61</v>
      </c>
      <c r="G431" s="15">
        <v>1852</v>
      </c>
      <c r="H431" s="15" t="s">
        <v>68</v>
      </c>
      <c r="I431" s="16">
        <v>30741</v>
      </c>
      <c r="J431" s="15">
        <v>4</v>
      </c>
      <c r="K431" s="17" t="s">
        <v>394</v>
      </c>
      <c r="M431" s="2" t="str">
        <f>"HYFW"</f>
        <v/>
      </c>
      <c r="P431" s="2" t="str">
        <f t="shared" si="30"/>
        <v/>
      </c>
    </row>
    <row r="432" spans="1:16" x14ac:dyDescent="0.35">
      <c r="A432" s="18">
        <v>85296</v>
      </c>
      <c r="B432" s="18" t="s">
        <v>593</v>
      </c>
      <c r="C432" s="14" t="s">
        <v>395</v>
      </c>
      <c r="D432" s="15">
        <v>1</v>
      </c>
      <c r="E432" s="15"/>
      <c r="F432" s="15" t="s">
        <v>61</v>
      </c>
      <c r="G432" s="15">
        <v>4185</v>
      </c>
      <c r="H432" s="15" t="s">
        <v>68</v>
      </c>
      <c r="I432" s="16">
        <v>63074</v>
      </c>
      <c r="J432" s="15">
        <v>7</v>
      </c>
      <c r="K432" s="17" t="s">
        <v>396</v>
      </c>
      <c r="M432" s="2" t="str">
        <f>"6N4L"</f>
        <v/>
      </c>
      <c r="P432" s="2" t="str">
        <f t="shared" si="30"/>
        <v/>
      </c>
    </row>
    <row r="433" spans="1:16" x14ac:dyDescent="0.35">
      <c r="A433" s="18">
        <v>18529</v>
      </c>
      <c r="B433" s="18" t="s">
        <v>593</v>
      </c>
      <c r="C433" s="14" t="s">
        <v>397</v>
      </c>
      <c r="D433" s="15">
        <v>4</v>
      </c>
      <c r="E433" s="15"/>
      <c r="F433" s="15" t="s">
        <v>61</v>
      </c>
      <c r="G433" s="15">
        <v>7418</v>
      </c>
      <c r="H433" s="15" t="s">
        <v>68</v>
      </c>
      <c r="I433" s="16">
        <v>96307</v>
      </c>
      <c r="J433" s="15">
        <v>1</v>
      </c>
      <c r="K433" s="17" t="s">
        <v>398</v>
      </c>
      <c r="M433" s="2" t="str">
        <f>"VCTA"</f>
        <v/>
      </c>
      <c r="P433" s="2" t="str">
        <f t="shared" si="30"/>
        <v/>
      </c>
    </row>
    <row r="434" spans="1:16" x14ac:dyDescent="0.35">
      <c r="A434" s="18">
        <v>41852</v>
      </c>
      <c r="B434" s="18" t="s">
        <v>593</v>
      </c>
      <c r="C434" s="14" t="s">
        <v>399</v>
      </c>
      <c r="D434" s="15">
        <v>7</v>
      </c>
      <c r="E434" s="15"/>
      <c r="F434" s="15" t="s">
        <v>61</v>
      </c>
      <c r="G434" s="15">
        <v>1741</v>
      </c>
      <c r="H434" s="15" t="s">
        <v>68</v>
      </c>
      <c r="I434" s="16">
        <v>29630</v>
      </c>
      <c r="J434" s="15">
        <v>3</v>
      </c>
      <c r="K434" s="17" t="s">
        <v>400</v>
      </c>
      <c r="M434" s="2" t="str">
        <f>"K1IZ"</f>
        <v/>
      </c>
      <c r="P434" s="2" t="str">
        <f t="shared" si="30"/>
        <v/>
      </c>
    </row>
    <row r="435" spans="1:16" x14ac:dyDescent="0.35">
      <c r="A435" s="18">
        <v>74185</v>
      </c>
      <c r="B435" s="18" t="s">
        <v>593</v>
      </c>
      <c r="C435" s="14" t="s">
        <v>401</v>
      </c>
      <c r="D435" s="15">
        <v>1</v>
      </c>
      <c r="E435" s="15"/>
      <c r="F435" s="15" t="s">
        <v>61</v>
      </c>
      <c r="G435" s="15">
        <v>3074</v>
      </c>
      <c r="H435" s="15" t="s">
        <v>68</v>
      </c>
      <c r="I435" s="16">
        <v>52963</v>
      </c>
      <c r="J435" s="15">
        <v>6</v>
      </c>
      <c r="K435" s="17" t="s">
        <v>402</v>
      </c>
      <c r="M435" s="2" t="str">
        <f>"9Q7O"</f>
        <v/>
      </c>
      <c r="P435" s="2" t="str">
        <f t="shared" si="30"/>
        <v/>
      </c>
    </row>
    <row r="436" spans="1:16" x14ac:dyDescent="0.35">
      <c r="A436" s="18">
        <v>17418</v>
      </c>
      <c r="B436" s="18" t="s">
        <v>593</v>
      </c>
      <c r="C436" s="14" t="s">
        <v>403</v>
      </c>
      <c r="D436" s="15">
        <v>3</v>
      </c>
      <c r="E436" s="15"/>
      <c r="F436" s="15" t="s">
        <v>61</v>
      </c>
      <c r="G436" s="15">
        <v>6307</v>
      </c>
      <c r="H436" s="15" t="s">
        <v>68</v>
      </c>
      <c r="I436" s="16">
        <v>85296</v>
      </c>
      <c r="J436" s="15">
        <v>9</v>
      </c>
      <c r="K436" s="17" t="s">
        <v>404</v>
      </c>
      <c r="M436" s="2" t="str">
        <f>"YFWD"</f>
        <v/>
      </c>
      <c r="P436" s="2" t="str">
        <f t="shared" si="30"/>
        <v/>
      </c>
    </row>
    <row r="437" spans="1:16" x14ac:dyDescent="0.35">
      <c r="A437" s="18">
        <v>30741</v>
      </c>
      <c r="B437" s="18" t="s">
        <v>593</v>
      </c>
      <c r="C437" s="14" t="s">
        <v>405</v>
      </c>
      <c r="D437" s="15">
        <v>6</v>
      </c>
      <c r="E437" s="15"/>
      <c r="F437" s="15" t="s">
        <v>61</v>
      </c>
      <c r="G437" s="15">
        <v>9630</v>
      </c>
      <c r="H437" s="15" t="s">
        <v>68</v>
      </c>
      <c r="I437" s="16">
        <v>18529</v>
      </c>
      <c r="J437" s="15">
        <v>2</v>
      </c>
      <c r="K437" s="17" t="s">
        <v>406</v>
      </c>
      <c r="M437" s="2" t="str">
        <f>"N4L2"</f>
        <v/>
      </c>
      <c r="P437" s="2" t="str">
        <f t="shared" si="30"/>
        <v/>
      </c>
    </row>
    <row r="438" spans="1:16" x14ac:dyDescent="0.35">
      <c r="A438" s="18">
        <v>63074</v>
      </c>
      <c r="B438" s="18" t="s">
        <v>593</v>
      </c>
      <c r="C438" s="14" t="s">
        <v>407</v>
      </c>
      <c r="D438" s="15">
        <v>9</v>
      </c>
      <c r="E438" s="15"/>
      <c r="F438" s="15" t="s">
        <v>61</v>
      </c>
      <c r="G438" s="15">
        <v>2963</v>
      </c>
      <c r="H438" s="15" t="s">
        <v>68</v>
      </c>
      <c r="I438" s="16">
        <v>41852</v>
      </c>
      <c r="J438" s="15">
        <v>5</v>
      </c>
      <c r="K438" s="17" t="s">
        <v>408</v>
      </c>
      <c r="M438" s="2" t="str">
        <f>"CTAR"</f>
        <v/>
      </c>
      <c r="P438" s="2" t="str">
        <f t="shared" si="30"/>
        <v/>
      </c>
    </row>
    <row r="439" spans="1:16" x14ac:dyDescent="0.35">
      <c r="A439" s="18">
        <v>96307</v>
      </c>
      <c r="B439" s="18" t="s">
        <v>593</v>
      </c>
      <c r="C439" s="14" t="s">
        <v>409</v>
      </c>
      <c r="D439" s="15">
        <v>2</v>
      </c>
      <c r="E439" s="15"/>
      <c r="F439" s="15" t="s">
        <v>61</v>
      </c>
      <c r="G439" s="15">
        <v>5296</v>
      </c>
      <c r="H439" s="15" t="s">
        <v>68</v>
      </c>
      <c r="I439" s="16">
        <v>74185</v>
      </c>
      <c r="J439" s="15">
        <v>8</v>
      </c>
      <c r="K439" s="17" t="s">
        <v>410</v>
      </c>
      <c r="M439" s="2" t="str">
        <f>"1IZG"</f>
        <v/>
      </c>
      <c r="P439" s="2" t="str">
        <f t="shared" si="30"/>
        <v/>
      </c>
    </row>
    <row r="440" spans="1:16" x14ac:dyDescent="0.35">
      <c r="A440" s="18">
        <v>29630</v>
      </c>
      <c r="B440" s="18" t="s">
        <v>593</v>
      </c>
      <c r="C440" s="14" t="s">
        <v>411</v>
      </c>
      <c r="D440" s="15">
        <v>5</v>
      </c>
      <c r="E440" s="15"/>
      <c r="F440" s="15" t="s">
        <v>61</v>
      </c>
      <c r="G440" s="15">
        <v>8529</v>
      </c>
      <c r="H440" s="15" t="s">
        <v>68</v>
      </c>
      <c r="I440" s="16">
        <v>17418</v>
      </c>
      <c r="J440" s="15">
        <v>1</v>
      </c>
      <c r="K440" s="17" t="s">
        <v>412</v>
      </c>
      <c r="M440" s="2" t="str">
        <f>"Q7O5"</f>
        <v/>
      </c>
      <c r="P440" s="2" t="str">
        <f t="shared" si="30"/>
        <v/>
      </c>
    </row>
    <row r="441" spans="1:16" x14ac:dyDescent="0.35">
      <c r="A441" s="18">
        <v>52963</v>
      </c>
      <c r="B441" s="18" t="s">
        <v>593</v>
      </c>
      <c r="C441" s="14" t="s">
        <v>413</v>
      </c>
      <c r="D441" s="15">
        <v>8</v>
      </c>
      <c r="E441" s="15"/>
      <c r="F441" s="15" t="s">
        <v>61</v>
      </c>
      <c r="G441" s="15">
        <v>1852</v>
      </c>
      <c r="H441" s="15" t="s">
        <v>68</v>
      </c>
      <c r="I441" s="16">
        <v>30741</v>
      </c>
      <c r="J441" s="15">
        <v>4</v>
      </c>
      <c r="K441" s="17" t="s">
        <v>414</v>
      </c>
      <c r="M441" s="2" t="str">
        <f>"FWDU"</f>
        <v/>
      </c>
      <c r="P441" s="2" t="str">
        <f t="shared" si="30"/>
        <v/>
      </c>
    </row>
    <row r="442" spans="1:16" x14ac:dyDescent="0.35">
      <c r="A442" s="18">
        <v>85296</v>
      </c>
      <c r="B442" s="18" t="s">
        <v>593</v>
      </c>
      <c r="C442" s="14" t="s">
        <v>415</v>
      </c>
      <c r="D442" s="15">
        <v>1</v>
      </c>
      <c r="E442" s="15"/>
      <c r="F442" s="15" t="s">
        <v>61</v>
      </c>
      <c r="G442" s="15">
        <v>4185</v>
      </c>
      <c r="H442" s="15" t="s">
        <v>68</v>
      </c>
      <c r="I442" s="16">
        <v>63074</v>
      </c>
      <c r="J442" s="15">
        <v>7</v>
      </c>
      <c r="K442" s="17" t="s">
        <v>416</v>
      </c>
      <c r="M442" s="2" t="str">
        <f>"4L2J"</f>
        <v/>
      </c>
      <c r="P442" s="2" t="str">
        <f t="shared" si="30"/>
        <v/>
      </c>
    </row>
    <row r="443" spans="1:16" x14ac:dyDescent="0.35">
      <c r="A443" s="18">
        <v>18529</v>
      </c>
      <c r="B443" s="18" t="s">
        <v>593</v>
      </c>
      <c r="C443" s="14" t="s">
        <v>417</v>
      </c>
      <c r="D443" s="15">
        <v>4</v>
      </c>
      <c r="E443" s="15"/>
      <c r="F443" s="15" t="s">
        <v>61</v>
      </c>
      <c r="G443" s="15">
        <v>7418</v>
      </c>
      <c r="H443" s="15" t="s">
        <v>68</v>
      </c>
      <c r="I443" s="16">
        <v>96307</v>
      </c>
      <c r="J443" s="15">
        <v>1</v>
      </c>
      <c r="K443" s="17" t="s">
        <v>418</v>
      </c>
      <c r="M443" s="2" t="str">
        <f>"TAR8"</f>
        <v/>
      </c>
      <c r="P443" s="2" t="str">
        <f t="shared" si="30"/>
        <v/>
      </c>
    </row>
    <row r="444" spans="1:16" x14ac:dyDescent="0.35">
      <c r="A444" s="18">
        <v>41852</v>
      </c>
      <c r="B444" s="18" t="s">
        <v>593</v>
      </c>
      <c r="C444" s="14" t="s">
        <v>419</v>
      </c>
      <c r="D444" s="15">
        <v>7</v>
      </c>
      <c r="E444" s="15"/>
      <c r="F444" s="15" t="s">
        <v>61</v>
      </c>
      <c r="G444" s="15">
        <v>1741</v>
      </c>
      <c r="H444" s="15" t="s">
        <v>68</v>
      </c>
      <c r="I444" s="16">
        <v>29630</v>
      </c>
      <c r="J444" s="15">
        <v>3</v>
      </c>
      <c r="K444" s="17" t="s">
        <v>420</v>
      </c>
      <c r="M444" s="2" t="str">
        <f>"IZGX"</f>
        <v/>
      </c>
      <c r="P444" s="2" t="str">
        <f t="shared" si="30"/>
        <v/>
      </c>
    </row>
    <row r="445" spans="1:16" x14ac:dyDescent="0.35">
      <c r="A445" s="18">
        <v>74185</v>
      </c>
      <c r="B445" s="18" t="s">
        <v>593</v>
      </c>
      <c r="C445" s="14" t="s">
        <v>421</v>
      </c>
      <c r="D445" s="15">
        <v>1</v>
      </c>
      <c r="E445" s="15"/>
      <c r="F445" s="15" t="s">
        <v>61</v>
      </c>
      <c r="G445" s="15">
        <v>3074</v>
      </c>
      <c r="H445" s="15" t="s">
        <v>68</v>
      </c>
      <c r="I445" s="16">
        <v>52963</v>
      </c>
      <c r="J445" s="15">
        <v>6</v>
      </c>
      <c r="K445" s="17" t="s">
        <v>422</v>
      </c>
      <c r="M445" s="2" t="str">
        <f>"7O5M"</f>
        <v/>
      </c>
      <c r="P445" s="2" t="str">
        <f t="shared" si="30"/>
        <v/>
      </c>
    </row>
    <row r="446" spans="1:16" x14ac:dyDescent="0.35">
      <c r="A446" s="18">
        <v>17418</v>
      </c>
      <c r="B446" s="18" t="s">
        <v>593</v>
      </c>
      <c r="C446" s="14" t="s">
        <v>423</v>
      </c>
      <c r="D446" s="15">
        <v>3</v>
      </c>
      <c r="E446" s="15"/>
      <c r="F446" s="15" t="s">
        <v>61</v>
      </c>
      <c r="G446" s="15">
        <v>6307</v>
      </c>
      <c r="H446" s="15" t="s">
        <v>68</v>
      </c>
      <c r="I446" s="16">
        <v>85296</v>
      </c>
      <c r="J446" s="15">
        <v>9</v>
      </c>
      <c r="K446" s="17" t="s">
        <v>424</v>
      </c>
      <c r="M446" s="2" t="str">
        <f>"WDUB"</f>
        <v/>
      </c>
      <c r="P446" s="2" t="str">
        <f t="shared" si="30"/>
        <v/>
      </c>
    </row>
    <row r="447" spans="1:16" x14ac:dyDescent="0.35">
      <c r="A447" s="18">
        <v>30741</v>
      </c>
      <c r="B447" s="18" t="s">
        <v>593</v>
      </c>
      <c r="C447" s="14" t="s">
        <v>425</v>
      </c>
      <c r="D447" s="15">
        <v>6</v>
      </c>
      <c r="E447" s="15"/>
      <c r="F447" s="15" t="s">
        <v>61</v>
      </c>
      <c r="G447" s="15">
        <v>9630</v>
      </c>
      <c r="H447" s="15" t="s">
        <v>68</v>
      </c>
      <c r="I447" s="16">
        <v>18529</v>
      </c>
      <c r="J447" s="15">
        <v>2</v>
      </c>
      <c r="K447" s="17" t="s">
        <v>426</v>
      </c>
      <c r="M447" s="2" t="str">
        <f>"L2J0"</f>
        <v/>
      </c>
      <c r="P447" s="2" t="str">
        <f t="shared" si="30"/>
        <v/>
      </c>
    </row>
    <row r="448" spans="1:16" x14ac:dyDescent="0.35">
      <c r="A448" s="18">
        <v>63074</v>
      </c>
      <c r="B448" s="18" t="s">
        <v>593</v>
      </c>
      <c r="C448" s="14" t="s">
        <v>427</v>
      </c>
      <c r="D448" s="15">
        <v>9</v>
      </c>
      <c r="E448" s="15"/>
      <c r="F448" s="15" t="s">
        <v>61</v>
      </c>
      <c r="G448" s="15">
        <v>2963</v>
      </c>
      <c r="H448" s="15" t="s">
        <v>68</v>
      </c>
      <c r="I448" s="16">
        <v>41852</v>
      </c>
      <c r="J448" s="15">
        <v>5</v>
      </c>
      <c r="K448" s="17" t="s">
        <v>428</v>
      </c>
      <c r="M448" s="2" t="str">
        <f>"AR8P"</f>
        <v/>
      </c>
      <c r="P448" s="2" t="str">
        <f t="shared" si="30"/>
        <v/>
      </c>
    </row>
    <row r="449" spans="1:16" x14ac:dyDescent="0.35">
      <c r="A449" s="18">
        <v>96307</v>
      </c>
      <c r="B449" s="18" t="s">
        <v>593</v>
      </c>
      <c r="C449" s="14" t="s">
        <v>429</v>
      </c>
      <c r="D449" s="15">
        <v>2</v>
      </c>
      <c r="E449" s="15"/>
      <c r="F449" s="15" t="s">
        <v>61</v>
      </c>
      <c r="G449" s="15">
        <v>5296</v>
      </c>
      <c r="H449" s="15" t="s">
        <v>68</v>
      </c>
      <c r="I449" s="16">
        <v>74185</v>
      </c>
      <c r="J449" s="15">
        <v>8</v>
      </c>
      <c r="K449" s="17" t="s">
        <v>430</v>
      </c>
      <c r="M449" s="2" t="str">
        <f>"ZGXE"</f>
        <v/>
      </c>
      <c r="P449" s="2" t="str">
        <f t="shared" si="30"/>
        <v/>
      </c>
    </row>
    <row r="450" spans="1:16" x14ac:dyDescent="0.35">
      <c r="A450" s="18">
        <v>29630</v>
      </c>
      <c r="B450" s="18" t="s">
        <v>593</v>
      </c>
      <c r="C450" s="14" t="s">
        <v>431</v>
      </c>
      <c r="D450" s="15">
        <v>5</v>
      </c>
      <c r="E450" s="15"/>
      <c r="F450" s="15" t="s">
        <v>61</v>
      </c>
      <c r="G450" s="15">
        <v>8529</v>
      </c>
      <c r="H450" s="15" t="s">
        <v>68</v>
      </c>
      <c r="I450" s="16">
        <v>17418</v>
      </c>
      <c r="J450" s="15">
        <v>1</v>
      </c>
      <c r="K450" s="17" t="s">
        <v>432</v>
      </c>
      <c r="M450" s="2" t="str">
        <f>"O5M3"</f>
        <v/>
      </c>
      <c r="P450" s="2" t="str">
        <f t="shared" si="30"/>
        <v/>
      </c>
    </row>
    <row r="451" spans="1:16" x14ac:dyDescent="0.35">
      <c r="A451" s="18">
        <v>52963</v>
      </c>
      <c r="B451" s="18" t="s">
        <v>593</v>
      </c>
      <c r="C451" s="14" t="s">
        <v>433</v>
      </c>
      <c r="D451" s="15">
        <v>8</v>
      </c>
      <c r="E451" s="15"/>
      <c r="F451" s="15" t="s">
        <v>61</v>
      </c>
      <c r="G451" s="15">
        <v>1852</v>
      </c>
      <c r="H451" s="15" t="s">
        <v>68</v>
      </c>
      <c r="I451" s="16">
        <v>30741</v>
      </c>
      <c r="J451" s="15">
        <v>4</v>
      </c>
      <c r="K451" s="17" t="s">
        <v>434</v>
      </c>
      <c r="M451" s="2" t="str">
        <f>"DUBS"</f>
        <v/>
      </c>
      <c r="P451" s="2" t="str">
        <f t="shared" si="30"/>
        <v/>
      </c>
    </row>
    <row r="452" spans="1:16" x14ac:dyDescent="0.35">
      <c r="A452" s="18">
        <v>85296</v>
      </c>
      <c r="B452" s="18" t="s">
        <v>593</v>
      </c>
      <c r="C452" s="14" t="s">
        <v>435</v>
      </c>
      <c r="D452" s="15">
        <v>1</v>
      </c>
      <c r="E452" s="15"/>
      <c r="F452" s="15" t="s">
        <v>61</v>
      </c>
      <c r="G452" s="15">
        <v>4185</v>
      </c>
      <c r="H452" s="15" t="s">
        <v>68</v>
      </c>
      <c r="I452" s="16">
        <v>63074</v>
      </c>
      <c r="J452" s="15">
        <v>7</v>
      </c>
      <c r="K452" s="17" t="s">
        <v>436</v>
      </c>
      <c r="M452" s="2" t="str">
        <f>"2J0H"</f>
        <v/>
      </c>
      <c r="P452" s="2" t="str">
        <f t="shared" si="30"/>
        <v/>
      </c>
    </row>
    <row r="453" spans="1:16" x14ac:dyDescent="0.35">
      <c r="A453" s="18">
        <v>18529</v>
      </c>
      <c r="B453" s="18" t="s">
        <v>593</v>
      </c>
      <c r="C453" s="14" t="s">
        <v>437</v>
      </c>
      <c r="D453" s="15">
        <v>4</v>
      </c>
      <c r="E453" s="15"/>
      <c r="F453" s="15" t="s">
        <v>61</v>
      </c>
      <c r="G453" s="15">
        <v>7418</v>
      </c>
      <c r="H453" s="15" t="s">
        <v>68</v>
      </c>
      <c r="I453" s="16">
        <v>96307</v>
      </c>
      <c r="J453" s="15">
        <v>1</v>
      </c>
      <c r="K453" s="17" t="s">
        <v>438</v>
      </c>
      <c r="M453" s="2" t="str">
        <f>"R8P6"</f>
        <v/>
      </c>
      <c r="P453" s="2" t="str">
        <f t="shared" si="30"/>
        <v/>
      </c>
    </row>
    <row r="454" spans="1:16" x14ac:dyDescent="0.35">
      <c r="A454" s="18">
        <v>41852</v>
      </c>
      <c r="B454" s="18" t="s">
        <v>593</v>
      </c>
      <c r="C454" s="14" t="s">
        <v>439</v>
      </c>
      <c r="D454" s="15">
        <v>7</v>
      </c>
      <c r="E454" s="15"/>
      <c r="F454" s="15" t="s">
        <v>61</v>
      </c>
      <c r="G454" s="15">
        <v>1741</v>
      </c>
      <c r="H454" s="15" t="s">
        <v>68</v>
      </c>
      <c r="I454" s="16">
        <v>29630</v>
      </c>
      <c r="J454" s="15">
        <v>3</v>
      </c>
      <c r="K454" s="17" t="s">
        <v>440</v>
      </c>
      <c r="M454" s="2" t="str">
        <f>"GXEV"</f>
        <v/>
      </c>
      <c r="P454" s="2" t="str">
        <f t="shared" si="30"/>
        <v/>
      </c>
    </row>
    <row r="455" spans="1:16" x14ac:dyDescent="0.35">
      <c r="A455" s="18">
        <v>74185</v>
      </c>
      <c r="B455" s="18" t="s">
        <v>593</v>
      </c>
      <c r="C455" s="14" t="s">
        <v>441</v>
      </c>
      <c r="D455" s="15">
        <v>1</v>
      </c>
      <c r="E455" s="15"/>
      <c r="F455" s="15" t="s">
        <v>61</v>
      </c>
      <c r="G455" s="15">
        <v>3074</v>
      </c>
      <c r="H455" s="15" t="s">
        <v>68</v>
      </c>
      <c r="I455" s="16">
        <v>52963</v>
      </c>
      <c r="J455" s="15">
        <v>6</v>
      </c>
      <c r="K455" s="17" t="s">
        <v>442</v>
      </c>
      <c r="M455" s="2" t="str">
        <f>"5M3K"</f>
        <v/>
      </c>
      <c r="P455" s="2" t="str">
        <f t="shared" si="30"/>
        <v/>
      </c>
    </row>
    <row r="456" spans="1:16" x14ac:dyDescent="0.35">
      <c r="A456" s="18">
        <v>17418</v>
      </c>
      <c r="B456" s="18" t="s">
        <v>593</v>
      </c>
      <c r="C456" s="14" t="s">
        <v>443</v>
      </c>
      <c r="D456" s="15">
        <v>3</v>
      </c>
      <c r="E456" s="15"/>
      <c r="F456" s="15" t="s">
        <v>61</v>
      </c>
      <c r="G456" s="15">
        <v>6307</v>
      </c>
      <c r="H456" s="15" t="s">
        <v>68</v>
      </c>
      <c r="I456" s="16">
        <v>85296</v>
      </c>
      <c r="J456" s="15">
        <v>9</v>
      </c>
      <c r="K456" s="17" t="s">
        <v>444</v>
      </c>
      <c r="M456" s="2" t="str">
        <f>"UBS9"</f>
        <v/>
      </c>
      <c r="P456" s="2" t="str">
        <f t="shared" si="30"/>
        <v/>
      </c>
    </row>
    <row r="457" spans="1:16" x14ac:dyDescent="0.35">
      <c r="A457" s="18">
        <v>30741</v>
      </c>
      <c r="B457" s="18" t="s">
        <v>593</v>
      </c>
      <c r="C457" s="14" t="s">
        <v>445</v>
      </c>
      <c r="D457" s="15">
        <v>6</v>
      </c>
      <c r="E457" s="15"/>
      <c r="F457" s="15" t="s">
        <v>61</v>
      </c>
      <c r="G457" s="15">
        <v>9630</v>
      </c>
      <c r="H457" s="15" t="s">
        <v>68</v>
      </c>
      <c r="I457" s="16">
        <v>18529</v>
      </c>
      <c r="J457" s="15">
        <v>2</v>
      </c>
      <c r="K457" s="17" t="s">
        <v>446</v>
      </c>
      <c r="M457" s="2" t="str">
        <f>"J0HY"</f>
        <v/>
      </c>
      <c r="P457" s="2" t="str">
        <f t="shared" si="30"/>
        <v/>
      </c>
    </row>
    <row r="458" spans="1:16" x14ac:dyDescent="0.35">
      <c r="A458" s="18">
        <v>63074</v>
      </c>
      <c r="B458" s="18" t="s">
        <v>593</v>
      </c>
      <c r="C458" s="14" t="s">
        <v>447</v>
      </c>
      <c r="D458" s="15">
        <v>9</v>
      </c>
      <c r="E458" s="15"/>
      <c r="F458" s="15" t="s">
        <v>61</v>
      </c>
      <c r="G458" s="15">
        <v>2963</v>
      </c>
      <c r="H458" s="15" t="s">
        <v>68</v>
      </c>
      <c r="I458" s="16">
        <v>41852</v>
      </c>
      <c r="J458" s="15">
        <v>5</v>
      </c>
      <c r="K458" s="17" t="s">
        <v>448</v>
      </c>
      <c r="M458" s="2" t="str">
        <f>"8P6N"</f>
        <v/>
      </c>
      <c r="P458" s="2" t="str">
        <f t="shared" si="30"/>
        <v/>
      </c>
    </row>
    <row r="459" spans="1:16" x14ac:dyDescent="0.35">
      <c r="A459" s="18">
        <v>96307</v>
      </c>
      <c r="B459" s="18" t="s">
        <v>593</v>
      </c>
      <c r="C459" s="14" t="s">
        <v>449</v>
      </c>
      <c r="D459" s="15">
        <v>2</v>
      </c>
      <c r="E459" s="15"/>
      <c r="F459" s="15" t="s">
        <v>61</v>
      </c>
      <c r="G459" s="15">
        <v>5296</v>
      </c>
      <c r="H459" s="15" t="s">
        <v>68</v>
      </c>
      <c r="I459" s="16">
        <v>74185</v>
      </c>
      <c r="J459" s="15">
        <v>8</v>
      </c>
      <c r="K459" s="17" t="s">
        <v>450</v>
      </c>
      <c r="M459" s="2" t="str">
        <f>"XEVC"</f>
        <v/>
      </c>
      <c r="P459" s="2" t="str">
        <f t="shared" si="30"/>
        <v/>
      </c>
    </row>
    <row r="460" spans="1:16" x14ac:dyDescent="0.35">
      <c r="A460" s="18">
        <v>29630</v>
      </c>
      <c r="B460" s="18" t="s">
        <v>593</v>
      </c>
      <c r="C460" s="14" t="s">
        <v>451</v>
      </c>
      <c r="D460" s="15">
        <v>5</v>
      </c>
      <c r="E460" s="15"/>
      <c r="F460" s="15" t="s">
        <v>61</v>
      </c>
      <c r="G460" s="15">
        <v>8529</v>
      </c>
      <c r="H460" s="15" t="s">
        <v>68</v>
      </c>
      <c r="I460" s="16">
        <v>17418</v>
      </c>
      <c r="J460" s="15">
        <v>1</v>
      </c>
      <c r="K460" s="17" t="s">
        <v>452</v>
      </c>
      <c r="M460" s="2" t="str">
        <f>"M3K1"</f>
        <v/>
      </c>
      <c r="P460" s="2" t="str">
        <f t="shared" si="30"/>
        <v/>
      </c>
    </row>
    <row r="461" spans="1:16" x14ac:dyDescent="0.35">
      <c r="A461" s="18">
        <v>52963</v>
      </c>
      <c r="B461" s="18" t="s">
        <v>593</v>
      </c>
      <c r="C461" s="14" t="s">
        <v>453</v>
      </c>
      <c r="D461" s="15">
        <v>8</v>
      </c>
      <c r="E461" s="15"/>
      <c r="F461" s="15" t="s">
        <v>61</v>
      </c>
      <c r="G461" s="15">
        <v>1852</v>
      </c>
      <c r="H461" s="15" t="s">
        <v>68</v>
      </c>
      <c r="I461" s="16">
        <v>30741</v>
      </c>
      <c r="J461" s="15">
        <v>4</v>
      </c>
      <c r="K461" s="17" t="s">
        <v>454</v>
      </c>
      <c r="M461" s="2" t="str">
        <f>"BS9Q"</f>
        <v/>
      </c>
      <c r="P461" s="2" t="str">
        <f t="shared" si="30"/>
        <v/>
      </c>
    </row>
    <row r="462" spans="1:16" x14ac:dyDescent="0.35">
      <c r="A462" s="18">
        <v>85296</v>
      </c>
      <c r="B462" s="18" t="s">
        <v>593</v>
      </c>
      <c r="C462" s="14" t="s">
        <v>455</v>
      </c>
      <c r="D462" s="15">
        <v>1</v>
      </c>
      <c r="E462" s="15"/>
      <c r="F462" s="15" t="s">
        <v>61</v>
      </c>
      <c r="G462" s="15">
        <v>4185</v>
      </c>
      <c r="H462" s="15" t="s">
        <v>68</v>
      </c>
      <c r="I462" s="16">
        <v>63074</v>
      </c>
      <c r="J462" s="15">
        <v>7</v>
      </c>
      <c r="K462" s="17" t="s">
        <v>456</v>
      </c>
      <c r="M462" s="2" t="str">
        <f>"0HYF"</f>
        <v/>
      </c>
      <c r="P462" s="2" t="str">
        <f t="shared" si="30"/>
        <v/>
      </c>
    </row>
    <row r="463" spans="1:16" x14ac:dyDescent="0.35">
      <c r="A463" s="18">
        <v>18529</v>
      </c>
      <c r="B463" s="18" t="s">
        <v>593</v>
      </c>
      <c r="C463" s="14" t="s">
        <v>457</v>
      </c>
      <c r="D463" s="15">
        <v>4</v>
      </c>
      <c r="E463" s="15"/>
      <c r="F463" s="15" t="s">
        <v>61</v>
      </c>
      <c r="G463" s="15">
        <v>7418</v>
      </c>
      <c r="H463" s="15" t="s">
        <v>68</v>
      </c>
      <c r="I463" s="16">
        <v>96307</v>
      </c>
      <c r="J463" s="15">
        <v>1</v>
      </c>
      <c r="K463" s="17" t="s">
        <v>458</v>
      </c>
      <c r="M463" s="2" t="str">
        <f>"P6N4"</f>
        <v/>
      </c>
      <c r="P463" s="2" t="str">
        <f t="shared" si="30"/>
        <v/>
      </c>
    </row>
    <row r="464" spans="1:16" x14ac:dyDescent="0.35">
      <c r="A464" s="18">
        <v>41852</v>
      </c>
      <c r="B464" s="18" t="s">
        <v>593</v>
      </c>
      <c r="C464" s="14" t="s">
        <v>459</v>
      </c>
      <c r="D464" s="15">
        <v>7</v>
      </c>
      <c r="E464" s="15"/>
      <c r="F464" s="15" t="s">
        <v>61</v>
      </c>
      <c r="G464" s="15">
        <v>1741</v>
      </c>
      <c r="H464" s="15" t="s">
        <v>68</v>
      </c>
      <c r="I464" s="16">
        <v>29630</v>
      </c>
      <c r="J464" s="15">
        <v>3</v>
      </c>
      <c r="K464" s="17" t="s">
        <v>460</v>
      </c>
      <c r="M464" s="2" t="str">
        <f>"EVCT"</f>
        <v/>
      </c>
      <c r="P464" s="2" t="str">
        <f t="shared" si="30"/>
        <v/>
      </c>
    </row>
    <row r="465" spans="1:16" x14ac:dyDescent="0.35">
      <c r="A465" s="18">
        <v>74185</v>
      </c>
      <c r="B465" s="18" t="s">
        <v>593</v>
      </c>
      <c r="C465" s="14" t="s">
        <v>461</v>
      </c>
      <c r="D465" s="15">
        <v>1</v>
      </c>
      <c r="E465" s="15"/>
      <c r="F465" s="15" t="s">
        <v>61</v>
      </c>
      <c r="G465" s="15">
        <v>3074</v>
      </c>
      <c r="H465" s="15" t="s">
        <v>68</v>
      </c>
      <c r="I465" s="16">
        <v>52963</v>
      </c>
      <c r="J465" s="15">
        <v>6</v>
      </c>
      <c r="K465" s="17" t="s">
        <v>462</v>
      </c>
      <c r="M465" s="2" t="str">
        <f>"3K1I"</f>
        <v/>
      </c>
      <c r="P465" s="2" t="str">
        <f t="shared" si="30"/>
        <v/>
      </c>
    </row>
    <row r="466" spans="1:16" x14ac:dyDescent="0.35">
      <c r="A466" s="18">
        <v>17418</v>
      </c>
      <c r="B466" s="18" t="s">
        <v>593</v>
      </c>
      <c r="C466" s="14" t="s">
        <v>463</v>
      </c>
      <c r="D466" s="15">
        <v>3</v>
      </c>
      <c r="E466" s="15"/>
      <c r="F466" s="15" t="s">
        <v>61</v>
      </c>
      <c r="G466" s="15">
        <v>6307</v>
      </c>
      <c r="H466" s="15" t="s">
        <v>68</v>
      </c>
      <c r="I466" s="16">
        <v>85296</v>
      </c>
      <c r="J466" s="15">
        <v>9</v>
      </c>
      <c r="K466" s="17" t="s">
        <v>464</v>
      </c>
      <c r="M466" s="2" t="str">
        <f>"S9Q7"</f>
        <v/>
      </c>
      <c r="P466" s="2" t="str">
        <f t="shared" si="30"/>
        <v/>
      </c>
    </row>
    <row r="467" spans="1:16" x14ac:dyDescent="0.35">
      <c r="A467" s="18">
        <v>30741</v>
      </c>
      <c r="B467" s="18" t="s">
        <v>593</v>
      </c>
      <c r="C467" s="14" t="s">
        <v>465</v>
      </c>
      <c r="D467" s="15">
        <v>6</v>
      </c>
      <c r="E467" s="15"/>
      <c r="F467" s="15" t="s">
        <v>61</v>
      </c>
      <c r="G467" s="15">
        <v>9630</v>
      </c>
      <c r="H467" s="15" t="s">
        <v>68</v>
      </c>
      <c r="I467" s="16">
        <v>18529</v>
      </c>
      <c r="J467" s="15">
        <v>2</v>
      </c>
      <c r="K467" s="17" t="s">
        <v>466</v>
      </c>
      <c r="M467" s="2" t="str">
        <f>"HYFW"</f>
        <v/>
      </c>
      <c r="P467" s="2" t="str">
        <f t="shared" si="30"/>
        <v/>
      </c>
    </row>
    <row r="468" spans="1:16" x14ac:dyDescent="0.35">
      <c r="A468" s="18">
        <v>63074</v>
      </c>
      <c r="B468" s="18" t="s">
        <v>593</v>
      </c>
      <c r="C468" s="14" t="s">
        <v>467</v>
      </c>
      <c r="D468" s="15">
        <v>9</v>
      </c>
      <c r="E468" s="15"/>
      <c r="F468" s="15" t="s">
        <v>61</v>
      </c>
      <c r="G468" s="15">
        <v>2963</v>
      </c>
      <c r="H468" s="15" t="s">
        <v>68</v>
      </c>
      <c r="I468" s="16">
        <v>41852</v>
      </c>
      <c r="J468" s="15">
        <v>5</v>
      </c>
      <c r="K468" s="17" t="s">
        <v>468</v>
      </c>
      <c r="M468" s="2" t="str">
        <f>"6N4L"</f>
        <v/>
      </c>
      <c r="P468" s="2" t="str">
        <f t="shared" si="30"/>
        <v/>
      </c>
    </row>
    <row r="469" spans="1:16" x14ac:dyDescent="0.35">
      <c r="A469" s="18">
        <v>96307</v>
      </c>
      <c r="B469" s="18" t="s">
        <v>593</v>
      </c>
      <c r="C469" s="14" t="s">
        <v>469</v>
      </c>
      <c r="D469" s="15">
        <v>2</v>
      </c>
      <c r="E469" s="15"/>
      <c r="F469" s="15" t="s">
        <v>61</v>
      </c>
      <c r="G469" s="15">
        <v>5296</v>
      </c>
      <c r="H469" s="15" t="s">
        <v>68</v>
      </c>
      <c r="I469" s="16">
        <v>74185</v>
      </c>
      <c r="J469" s="15">
        <v>8</v>
      </c>
      <c r="K469" s="17" t="s">
        <v>470</v>
      </c>
      <c r="M469" s="2" t="str">
        <f>"VCTA"</f>
        <v/>
      </c>
      <c r="P469" s="2" t="str">
        <f t="shared" si="30"/>
        <v/>
      </c>
    </row>
    <row r="470" spans="1:16" x14ac:dyDescent="0.35">
      <c r="A470" s="18">
        <v>29630</v>
      </c>
      <c r="B470" s="18" t="s">
        <v>593</v>
      </c>
      <c r="C470" s="14" t="s">
        <v>471</v>
      </c>
      <c r="D470" s="15">
        <v>5</v>
      </c>
      <c r="E470" s="15"/>
      <c r="F470" s="15" t="s">
        <v>61</v>
      </c>
      <c r="G470" s="15">
        <v>8529</v>
      </c>
      <c r="H470" s="15" t="s">
        <v>68</v>
      </c>
      <c r="I470" s="16">
        <v>17418</v>
      </c>
      <c r="J470" s="15">
        <v>1</v>
      </c>
      <c r="K470" s="17" t="s">
        <v>472</v>
      </c>
      <c r="M470" s="2" t="str">
        <f>"K1IZ"</f>
        <v/>
      </c>
      <c r="P470" s="2" t="str">
        <f t="shared" si="30"/>
        <v/>
      </c>
    </row>
    <row r="471" spans="1:16" x14ac:dyDescent="0.35">
      <c r="A471" s="18">
        <v>52963</v>
      </c>
      <c r="B471" s="18" t="s">
        <v>593</v>
      </c>
      <c r="C471" s="14" t="s">
        <v>473</v>
      </c>
      <c r="D471" s="15">
        <v>8</v>
      </c>
      <c r="E471" s="15"/>
      <c r="F471" s="15" t="s">
        <v>61</v>
      </c>
      <c r="G471" s="15">
        <v>1852</v>
      </c>
      <c r="H471" s="15" t="s">
        <v>68</v>
      </c>
      <c r="I471" s="16">
        <v>30741</v>
      </c>
      <c r="J471" s="15">
        <v>4</v>
      </c>
      <c r="K471" s="17" t="s">
        <v>474</v>
      </c>
      <c r="M471" s="2" t="str">
        <f>"9Q7O"</f>
        <v/>
      </c>
      <c r="P471" s="2" t="str">
        <f t="shared" si="30"/>
        <v/>
      </c>
    </row>
    <row r="472" spans="1:16" x14ac:dyDescent="0.35">
      <c r="A472" s="18">
        <v>85296</v>
      </c>
      <c r="B472" s="18" t="s">
        <v>593</v>
      </c>
      <c r="C472" s="14" t="s">
        <v>475</v>
      </c>
      <c r="D472" s="15">
        <v>1</v>
      </c>
      <c r="E472" s="15"/>
      <c r="F472" s="15" t="s">
        <v>61</v>
      </c>
      <c r="G472" s="15">
        <v>4185</v>
      </c>
      <c r="H472" s="15" t="s">
        <v>68</v>
      </c>
      <c r="I472" s="16">
        <v>63074</v>
      </c>
      <c r="J472" s="15">
        <v>7</v>
      </c>
      <c r="K472" s="17" t="s">
        <v>476</v>
      </c>
      <c r="M472" s="2" t="str">
        <f>"YFWD"</f>
        <v/>
      </c>
      <c r="P472" s="2" t="str">
        <f t="shared" si="30"/>
        <v/>
      </c>
    </row>
    <row r="473" spans="1:16" x14ac:dyDescent="0.35">
      <c r="A473" s="18">
        <v>18529</v>
      </c>
      <c r="B473" s="18" t="s">
        <v>593</v>
      </c>
      <c r="C473" s="14" t="s">
        <v>477</v>
      </c>
      <c r="D473" s="15">
        <v>4</v>
      </c>
      <c r="E473" s="15"/>
      <c r="F473" s="15" t="s">
        <v>61</v>
      </c>
      <c r="G473" s="15">
        <v>7418</v>
      </c>
      <c r="H473" s="15" t="s">
        <v>68</v>
      </c>
      <c r="I473" s="16">
        <v>96307</v>
      </c>
      <c r="J473" s="15">
        <v>1</v>
      </c>
      <c r="K473" s="17" t="s">
        <v>478</v>
      </c>
      <c r="M473" s="2" t="str">
        <f>"N4L2"</f>
        <v/>
      </c>
      <c r="P473" s="2" t="str">
        <f t="shared" si="30"/>
        <v/>
      </c>
    </row>
    <row r="474" spans="1:16" x14ac:dyDescent="0.35">
      <c r="A474" s="18">
        <v>41852</v>
      </c>
      <c r="B474" s="18" t="s">
        <v>593</v>
      </c>
      <c r="C474" s="14" t="s">
        <v>479</v>
      </c>
      <c r="D474" s="15">
        <v>7</v>
      </c>
      <c r="E474" s="15"/>
      <c r="F474" s="15" t="s">
        <v>61</v>
      </c>
      <c r="G474" s="15">
        <v>1741</v>
      </c>
      <c r="H474" s="15" t="s">
        <v>68</v>
      </c>
      <c r="I474" s="16">
        <v>29630</v>
      </c>
      <c r="J474" s="15">
        <v>3</v>
      </c>
      <c r="K474" s="17" t="s">
        <v>480</v>
      </c>
      <c r="M474" s="2" t="str">
        <f>"CTAR"</f>
        <v/>
      </c>
      <c r="P474" s="2" t="str">
        <f t="shared" si="30"/>
        <v/>
      </c>
    </row>
    <row r="475" spans="1:16" x14ac:dyDescent="0.35">
      <c r="A475" s="18">
        <v>74185</v>
      </c>
      <c r="B475" s="18" t="s">
        <v>593</v>
      </c>
      <c r="C475" s="14" t="s">
        <v>481</v>
      </c>
      <c r="D475" s="15">
        <v>1</v>
      </c>
      <c r="E475" s="15"/>
      <c r="F475" s="15" t="s">
        <v>61</v>
      </c>
      <c r="G475" s="15">
        <v>3074</v>
      </c>
      <c r="H475" s="15" t="s">
        <v>68</v>
      </c>
      <c r="I475" s="16">
        <v>52963</v>
      </c>
      <c r="J475" s="15">
        <v>6</v>
      </c>
      <c r="K475" s="17" t="s">
        <v>482</v>
      </c>
      <c r="M475" s="2" t="str">
        <f>"1IZG"</f>
        <v/>
      </c>
      <c r="P475" s="2" t="str">
        <f t="shared" si="30"/>
        <v/>
      </c>
    </row>
    <row r="476" spans="1:16" x14ac:dyDescent="0.35">
      <c r="A476" s="18">
        <v>17418</v>
      </c>
      <c r="B476" s="18" t="s">
        <v>593</v>
      </c>
      <c r="C476" s="14" t="s">
        <v>483</v>
      </c>
      <c r="D476" s="15">
        <v>3</v>
      </c>
      <c r="E476" s="15"/>
      <c r="F476" s="15" t="s">
        <v>61</v>
      </c>
      <c r="G476" s="15">
        <v>6307</v>
      </c>
      <c r="H476" s="15" t="s">
        <v>68</v>
      </c>
      <c r="I476" s="16">
        <v>85296</v>
      </c>
      <c r="J476" s="15">
        <v>9</v>
      </c>
      <c r="K476" s="17" t="s">
        <v>484</v>
      </c>
      <c r="M476" s="2" t="str">
        <f>"Q7O5"</f>
        <v/>
      </c>
      <c r="P476" s="2" t="str">
        <f t="shared" si="30"/>
        <v/>
      </c>
    </row>
    <row r="477" spans="1:16" x14ac:dyDescent="0.35">
      <c r="A477" s="18">
        <v>30741</v>
      </c>
      <c r="B477" s="18" t="s">
        <v>593</v>
      </c>
      <c r="C477" s="14" t="s">
        <v>485</v>
      </c>
      <c r="D477" s="15">
        <v>6</v>
      </c>
      <c r="E477" s="15"/>
      <c r="F477" s="15" t="s">
        <v>61</v>
      </c>
      <c r="G477" s="15">
        <v>9630</v>
      </c>
      <c r="H477" s="15" t="s">
        <v>68</v>
      </c>
      <c r="I477" s="16">
        <v>18529</v>
      </c>
      <c r="J477" s="15">
        <v>2</v>
      </c>
      <c r="K477" s="17" t="s">
        <v>486</v>
      </c>
      <c r="M477" s="2" t="str">
        <f>"FWDU"</f>
        <v/>
      </c>
      <c r="P477" s="2" t="str">
        <f t="shared" si="30"/>
        <v/>
      </c>
    </row>
    <row r="478" spans="1:16" x14ac:dyDescent="0.35">
      <c r="A478" s="18">
        <v>63074</v>
      </c>
      <c r="B478" s="18" t="s">
        <v>593</v>
      </c>
      <c r="C478" s="14" t="s">
        <v>487</v>
      </c>
      <c r="D478" s="15">
        <v>9</v>
      </c>
      <c r="E478" s="15"/>
      <c r="F478" s="15" t="s">
        <v>61</v>
      </c>
      <c r="G478" s="15">
        <v>2963</v>
      </c>
      <c r="H478" s="15" t="s">
        <v>68</v>
      </c>
      <c r="I478" s="16">
        <v>41852</v>
      </c>
      <c r="J478" s="15">
        <v>5</v>
      </c>
      <c r="K478" s="17" t="s">
        <v>488</v>
      </c>
      <c r="M478" s="2" t="str">
        <f>"4L2J"</f>
        <v/>
      </c>
      <c r="P478" s="2" t="str">
        <f t="shared" si="30"/>
        <v/>
      </c>
    </row>
    <row r="479" spans="1:16" x14ac:dyDescent="0.35">
      <c r="A479" s="18">
        <v>96307</v>
      </c>
      <c r="B479" s="18" t="s">
        <v>593</v>
      </c>
      <c r="C479" s="14" t="s">
        <v>489</v>
      </c>
      <c r="D479" s="15">
        <v>2</v>
      </c>
      <c r="E479" s="15"/>
      <c r="F479" s="15" t="s">
        <v>61</v>
      </c>
      <c r="G479" s="15">
        <v>5296</v>
      </c>
      <c r="H479" s="15" t="s">
        <v>68</v>
      </c>
      <c r="I479" s="16">
        <v>74185</v>
      </c>
      <c r="J479" s="15">
        <v>8</v>
      </c>
      <c r="K479" s="17" t="s">
        <v>490</v>
      </c>
      <c r="M479" s="2" t="str">
        <f>"TAR8"</f>
        <v/>
      </c>
      <c r="P479" s="2" t="str">
        <f t="shared" si="30"/>
        <v/>
      </c>
    </row>
    <row r="480" spans="1:16" x14ac:dyDescent="0.35">
      <c r="A480" s="18">
        <v>29630</v>
      </c>
      <c r="B480" s="18" t="s">
        <v>593</v>
      </c>
      <c r="C480" s="14" t="s">
        <v>491</v>
      </c>
      <c r="D480" s="15">
        <v>5</v>
      </c>
      <c r="E480" s="15"/>
      <c r="F480" s="15" t="s">
        <v>61</v>
      </c>
      <c r="G480" s="15">
        <v>8529</v>
      </c>
      <c r="H480" s="15" t="s">
        <v>68</v>
      </c>
      <c r="I480" s="16">
        <v>17418</v>
      </c>
      <c r="J480" s="15">
        <v>1</v>
      </c>
      <c r="K480" s="17" t="s">
        <v>492</v>
      </c>
      <c r="M480" s="2" t="str">
        <f>"IZGX"</f>
        <v/>
      </c>
      <c r="P480" s="2" t="str">
        <f t="shared" ref="P480:P511" si="32">"VCTA"</f>
        <v/>
      </c>
    </row>
    <row r="481" spans="1:16" x14ac:dyDescent="0.35">
      <c r="A481" s="18">
        <v>52963</v>
      </c>
      <c r="B481" s="18" t="s">
        <v>593</v>
      </c>
      <c r="C481" s="14" t="s">
        <v>493</v>
      </c>
      <c r="D481" s="15">
        <v>8</v>
      </c>
      <c r="E481" s="15"/>
      <c r="F481" s="15" t="s">
        <v>61</v>
      </c>
      <c r="G481" s="15">
        <v>1852</v>
      </c>
      <c r="H481" s="15" t="s">
        <v>68</v>
      </c>
      <c r="I481" s="16">
        <v>30741</v>
      </c>
      <c r="J481" s="15">
        <v>4</v>
      </c>
      <c r="K481" s="17" t="s">
        <v>494</v>
      </c>
      <c r="M481" s="2" t="str">
        <f>"7O5M"</f>
        <v/>
      </c>
      <c r="P481" s="2" t="str">
        <f t="shared" si="32"/>
        <v/>
      </c>
    </row>
    <row r="482" spans="1:16" x14ac:dyDescent="0.35">
      <c r="A482" s="18">
        <v>85296</v>
      </c>
      <c r="B482" s="18" t="s">
        <v>593</v>
      </c>
      <c r="C482" s="14" t="s">
        <v>495</v>
      </c>
      <c r="D482" s="15">
        <v>1</v>
      </c>
      <c r="E482" s="15"/>
      <c r="F482" s="15" t="s">
        <v>61</v>
      </c>
      <c r="G482" s="15">
        <v>4185</v>
      </c>
      <c r="H482" s="15" t="s">
        <v>142</v>
      </c>
      <c r="I482" s="16">
        <v>63074</v>
      </c>
      <c r="J482" s="15">
        <v>7</v>
      </c>
      <c r="K482" s="17" t="s">
        <v>496</v>
      </c>
      <c r="L482" s="1" t="str">
        <f>"WDUBS9Q7O5M3K1IZGXEV"</f>
        <v>WDUBS9Q7O5M3K1IZGXEV</v>
      </c>
      <c r="M482" s="2" t="str">
        <f>"9Q7O5M3K1IZGXEVCT"</f>
        <v>9Q7O5M3K1IZGXEVCT</v>
      </c>
      <c r="N482" s="1" t="s">
        <v>64</v>
      </c>
      <c r="O482" s="18">
        <v>2963</v>
      </c>
      <c r="P482" s="2" t="str">
        <f t="shared" si="32"/>
        <v>CTAR8P6N4L2J0HYFW</v>
      </c>
    </row>
    <row r="483" spans="1:16" x14ac:dyDescent="0.35">
      <c r="A483" s="18">
        <v>41852</v>
      </c>
      <c r="B483" s="18" t="s">
        <v>593</v>
      </c>
      <c r="C483" s="14" t="s">
        <v>497</v>
      </c>
      <c r="D483" s="15">
        <v>7</v>
      </c>
      <c r="E483" s="15"/>
      <c r="F483" s="15" t="s">
        <v>61</v>
      </c>
      <c r="G483" s="15">
        <v>1741</v>
      </c>
      <c r="H483" s="15" t="s">
        <v>142</v>
      </c>
      <c r="I483" s="16">
        <v>29630</v>
      </c>
      <c r="J483" s="15">
        <v>3</v>
      </c>
      <c r="K483" s="17" t="s">
        <v>498</v>
      </c>
      <c r="L483" s="1" t="str">
        <f>"O5M3K1IZGXEVCTAR8P6N"</f>
        <v>O5M3K1IZGXEVCTAR8P6N</v>
      </c>
      <c r="M483" s="2" t="str">
        <f>"1IZGXEVCTAR8P6N4L"</f>
        <v>1IZGXEVCTAR8P6N4L</v>
      </c>
      <c r="N483" s="1" t="s">
        <v>64</v>
      </c>
      <c r="O483" s="18">
        <v>8529</v>
      </c>
      <c r="P483" s="2" t="str">
        <f t="shared" si="32"/>
        <v>4L2J0HYFWDUBS9Q7O</v>
      </c>
    </row>
    <row r="484" spans="1:16" x14ac:dyDescent="0.35">
      <c r="A484" s="18">
        <v>17418</v>
      </c>
      <c r="B484" s="18" t="s">
        <v>593</v>
      </c>
      <c r="C484" s="14" t="s">
        <v>499</v>
      </c>
      <c r="D484" s="15">
        <v>3</v>
      </c>
      <c r="E484" s="15"/>
      <c r="F484" s="15" t="s">
        <v>61</v>
      </c>
      <c r="G484" s="15">
        <v>6307</v>
      </c>
      <c r="H484" s="15" t="s">
        <v>68</v>
      </c>
      <c r="I484" s="16">
        <v>85296</v>
      </c>
      <c r="J484" s="15">
        <v>9</v>
      </c>
      <c r="K484" s="17" t="s">
        <v>500</v>
      </c>
      <c r="M484" s="2" t="str">
        <f>"GXEV"</f>
        <v/>
      </c>
      <c r="P484" s="2" t="str">
        <f t="shared" si="32"/>
        <v/>
      </c>
    </row>
    <row r="485" spans="1:16" x14ac:dyDescent="0.35">
      <c r="A485" s="18">
        <v>30741</v>
      </c>
      <c r="B485" s="18" t="s">
        <v>593</v>
      </c>
      <c r="C485" s="14" t="s">
        <v>501</v>
      </c>
      <c r="D485" s="15">
        <v>6</v>
      </c>
      <c r="E485" s="15"/>
      <c r="F485" s="15" t="s">
        <v>61</v>
      </c>
      <c r="G485" s="15">
        <v>9630</v>
      </c>
      <c r="H485" s="15" t="s">
        <v>68</v>
      </c>
      <c r="I485" s="16">
        <v>18529</v>
      </c>
      <c r="J485" s="15">
        <v>2</v>
      </c>
      <c r="K485" s="17" t="s">
        <v>502</v>
      </c>
      <c r="M485" s="2" t="str">
        <f>"5M3K"</f>
        <v/>
      </c>
      <c r="P485" s="2" t="str">
        <f t="shared" si="32"/>
        <v/>
      </c>
    </row>
    <row r="486" spans="1:16" x14ac:dyDescent="0.35">
      <c r="A486" s="18">
        <v>63074</v>
      </c>
      <c r="B486" s="18" t="s">
        <v>593</v>
      </c>
      <c r="C486" s="14" t="s">
        <v>503</v>
      </c>
      <c r="D486" s="15">
        <v>9</v>
      </c>
      <c r="E486" s="15"/>
      <c r="F486" s="15" t="s">
        <v>61</v>
      </c>
      <c r="G486" s="15">
        <v>2963</v>
      </c>
      <c r="H486" s="15" t="s">
        <v>68</v>
      </c>
      <c r="I486" s="16">
        <v>41852</v>
      </c>
      <c r="J486" s="15">
        <v>5</v>
      </c>
      <c r="K486" s="17" t="s">
        <v>504</v>
      </c>
      <c r="M486" s="2" t="str">
        <f>"UBS9"</f>
        <v/>
      </c>
      <c r="P486" s="2" t="str">
        <f t="shared" si="32"/>
        <v/>
      </c>
    </row>
    <row r="487" spans="1:16" x14ac:dyDescent="0.35">
      <c r="A487" s="18">
        <v>96307</v>
      </c>
      <c r="B487" s="18" t="s">
        <v>593</v>
      </c>
      <c r="C487" s="14" t="s">
        <v>505</v>
      </c>
      <c r="D487" s="15">
        <v>2</v>
      </c>
      <c r="E487" s="15"/>
      <c r="F487" s="15" t="s">
        <v>61</v>
      </c>
      <c r="G487" s="15">
        <v>5296</v>
      </c>
      <c r="H487" s="15" t="s">
        <v>68</v>
      </c>
      <c r="I487" s="16">
        <v>74185</v>
      </c>
      <c r="J487" s="15">
        <v>8</v>
      </c>
      <c r="K487" s="17" t="s">
        <v>506</v>
      </c>
      <c r="M487" s="2" t="str">
        <f>"J0HY"</f>
        <v/>
      </c>
      <c r="P487" s="2" t="str">
        <f t="shared" si="32"/>
        <v/>
      </c>
    </row>
    <row r="488" spans="1:16" x14ac:dyDescent="0.35">
      <c r="A488" s="18">
        <v>29630</v>
      </c>
      <c r="B488" s="18" t="s">
        <v>593</v>
      </c>
      <c r="C488" s="14" t="s">
        <v>507</v>
      </c>
      <c r="D488" s="15">
        <v>5</v>
      </c>
      <c r="E488" s="15"/>
      <c r="F488" s="15" t="s">
        <v>61</v>
      </c>
      <c r="G488" s="15">
        <v>8529</v>
      </c>
      <c r="H488" s="15" t="s">
        <v>68</v>
      </c>
      <c r="I488" s="16">
        <v>17418</v>
      </c>
      <c r="J488" s="15">
        <v>1</v>
      </c>
      <c r="K488" s="17" t="s">
        <v>508</v>
      </c>
      <c r="M488" s="2" t="str">
        <f>"8P6N"</f>
        <v/>
      </c>
      <c r="P488" s="2" t="str">
        <f t="shared" si="32"/>
        <v/>
      </c>
    </row>
    <row r="489" spans="1:16" x14ac:dyDescent="0.35">
      <c r="A489" s="18">
        <v>52963</v>
      </c>
      <c r="B489" s="18" t="s">
        <v>593</v>
      </c>
      <c r="C489" s="14" t="s">
        <v>509</v>
      </c>
      <c r="D489" s="15">
        <v>8</v>
      </c>
      <c r="E489" s="15"/>
      <c r="F489" s="15" t="s">
        <v>61</v>
      </c>
      <c r="G489" s="15">
        <v>1852</v>
      </c>
      <c r="H489" s="15" t="s">
        <v>68</v>
      </c>
      <c r="I489" s="16">
        <v>30741</v>
      </c>
      <c r="J489" s="15">
        <v>4</v>
      </c>
      <c r="K489" s="17" t="s">
        <v>510</v>
      </c>
      <c r="M489" s="2" t="str">
        <f>"XEVC"</f>
        <v/>
      </c>
      <c r="P489" s="2" t="str">
        <f t="shared" si="32"/>
        <v/>
      </c>
    </row>
    <row r="490" spans="1:16" x14ac:dyDescent="0.35">
      <c r="A490" s="18">
        <v>85296</v>
      </c>
      <c r="B490" s="18" t="s">
        <v>593</v>
      </c>
      <c r="C490" s="14" t="s">
        <v>511</v>
      </c>
      <c r="D490" s="15">
        <v>1</v>
      </c>
      <c r="E490" s="15"/>
      <c r="F490" s="15" t="s">
        <v>61</v>
      </c>
      <c r="G490" s="15">
        <v>4185</v>
      </c>
      <c r="H490" s="15" t="s">
        <v>155</v>
      </c>
      <c r="I490" s="16">
        <v>63074</v>
      </c>
      <c r="J490" s="15">
        <v>7</v>
      </c>
      <c r="K490" s="17" t="s">
        <v>512</v>
      </c>
      <c r="L490" s="1" t="str">
        <f>"M3K1IZGXEVCTAR8P6N4L"</f>
        <v>M3K1IZGXEVCTAR8P6N4L</v>
      </c>
      <c r="M490" s="2" t="str">
        <f>"ZGXEVCTAR8P6N4L2J"</f>
        <v>ZGXEVCTAR8P6N4L2J</v>
      </c>
      <c r="N490" s="1" t="s">
        <v>64</v>
      </c>
      <c r="O490" s="1">
        <v>2963</v>
      </c>
      <c r="P490" s="2" t="str">
        <f t="shared" si="32"/>
        <v>2J0HYFWDUBS9Q7O5M</v>
      </c>
    </row>
    <row r="491" spans="1:16" x14ac:dyDescent="0.35">
      <c r="A491" s="18">
        <v>41852</v>
      </c>
      <c r="B491" s="18" t="s">
        <v>593</v>
      </c>
      <c r="C491" s="14" t="s">
        <v>513</v>
      </c>
      <c r="D491" s="15">
        <v>7</v>
      </c>
      <c r="E491" s="15"/>
      <c r="F491" s="15" t="s">
        <v>61</v>
      </c>
      <c r="G491" s="15">
        <v>1741</v>
      </c>
      <c r="H491" s="15" t="s">
        <v>68</v>
      </c>
      <c r="I491" s="16">
        <v>29630</v>
      </c>
      <c r="J491" s="15">
        <v>3</v>
      </c>
      <c r="K491" s="17" t="s">
        <v>514</v>
      </c>
      <c r="M491" s="2" t="str">
        <f>"EVCT"</f>
        <v/>
      </c>
      <c r="P491" s="2" t="str">
        <f t="shared" si="32"/>
        <v/>
      </c>
    </row>
    <row r="492" spans="1:16" x14ac:dyDescent="0.35">
      <c r="A492" s="18">
        <v>74185</v>
      </c>
      <c r="B492" s="18" t="s">
        <v>593</v>
      </c>
      <c r="C492" s="14" t="s">
        <v>515</v>
      </c>
      <c r="D492" s="15">
        <v>1</v>
      </c>
      <c r="E492" s="15"/>
      <c r="F492" s="15" t="s">
        <v>61</v>
      </c>
      <c r="G492" s="15">
        <v>3074</v>
      </c>
      <c r="H492" s="15" t="s">
        <v>68</v>
      </c>
      <c r="I492" s="16">
        <v>52963</v>
      </c>
      <c r="J492" s="15">
        <v>6</v>
      </c>
      <c r="K492" s="17" t="s">
        <v>516</v>
      </c>
      <c r="M492" s="2" t="str">
        <f>"3K1I"</f>
        <v/>
      </c>
      <c r="P492" s="2" t="str">
        <f t="shared" si="32"/>
        <v/>
      </c>
    </row>
    <row r="493" spans="1:16" x14ac:dyDescent="0.35">
      <c r="A493" s="18">
        <v>17418</v>
      </c>
      <c r="B493" s="18" t="s">
        <v>593</v>
      </c>
      <c r="C493" s="14" t="s">
        <v>517</v>
      </c>
      <c r="D493" s="15">
        <v>3</v>
      </c>
      <c r="E493" s="15"/>
      <c r="F493" s="15" t="s">
        <v>61</v>
      </c>
      <c r="G493" s="15">
        <v>6307</v>
      </c>
      <c r="H493" s="15" t="s">
        <v>68</v>
      </c>
      <c r="I493" s="16">
        <v>85296</v>
      </c>
      <c r="J493" s="15">
        <v>9</v>
      </c>
      <c r="K493" s="17" t="s">
        <v>518</v>
      </c>
      <c r="M493" s="2" t="str">
        <f>"S9Q7"</f>
        <v/>
      </c>
      <c r="P493" s="2" t="str">
        <f t="shared" si="32"/>
        <v/>
      </c>
    </row>
    <row r="494" spans="1:16" x14ac:dyDescent="0.35">
      <c r="A494" s="18">
        <v>30741</v>
      </c>
      <c r="B494" s="18" t="s">
        <v>593</v>
      </c>
      <c r="C494" s="14" t="s">
        <v>519</v>
      </c>
      <c r="D494" s="15">
        <v>6</v>
      </c>
      <c r="E494" s="15"/>
      <c r="F494" s="15" t="s">
        <v>61</v>
      </c>
      <c r="G494" s="15">
        <v>9630</v>
      </c>
      <c r="H494" s="15" t="s">
        <v>68</v>
      </c>
      <c r="I494" s="16">
        <v>18529</v>
      </c>
      <c r="J494" s="15">
        <v>2</v>
      </c>
      <c r="K494" s="17" t="s">
        <v>520</v>
      </c>
      <c r="M494" s="2" t="str">
        <f>"HYFW"</f>
        <v/>
      </c>
      <c r="P494" s="2" t="str">
        <f t="shared" si="32"/>
        <v/>
      </c>
    </row>
    <row r="495" spans="1:16" x14ac:dyDescent="0.35">
      <c r="A495" s="18">
        <v>63074</v>
      </c>
      <c r="B495" s="18" t="s">
        <v>593</v>
      </c>
      <c r="C495" s="14" t="s">
        <v>521</v>
      </c>
      <c r="D495" s="15">
        <v>9</v>
      </c>
      <c r="E495" s="15"/>
      <c r="F495" s="15" t="s">
        <v>61</v>
      </c>
      <c r="G495" s="15">
        <v>2963</v>
      </c>
      <c r="H495" s="15" t="s">
        <v>68</v>
      </c>
      <c r="I495" s="16">
        <v>41852</v>
      </c>
      <c r="J495" s="15">
        <v>5</v>
      </c>
      <c r="K495" s="17" t="s">
        <v>522</v>
      </c>
      <c r="M495" s="2" t="str">
        <f>"6N4L"</f>
        <v/>
      </c>
      <c r="P495" s="2" t="str">
        <f t="shared" si="32"/>
        <v/>
      </c>
    </row>
    <row r="496" spans="1:16" x14ac:dyDescent="0.35">
      <c r="A496" s="18">
        <v>96307</v>
      </c>
      <c r="B496" s="18" t="s">
        <v>593</v>
      </c>
      <c r="C496" s="14" t="s">
        <v>523</v>
      </c>
      <c r="D496" s="15">
        <v>2</v>
      </c>
      <c r="E496" s="15"/>
      <c r="F496" s="15" t="s">
        <v>61</v>
      </c>
      <c r="G496" s="15">
        <v>5296</v>
      </c>
      <c r="H496" s="15" t="s">
        <v>155</v>
      </c>
      <c r="I496" s="16">
        <v>74185</v>
      </c>
      <c r="J496" s="15">
        <v>8</v>
      </c>
      <c r="K496" s="17" t="s">
        <v>524</v>
      </c>
      <c r="L496" s="1" t="str">
        <f>"VCTAR8P6N4L2J0HYFWDU"</f>
        <v>VCTAR8P6N4L2J0HYFWDU</v>
      </c>
      <c r="M496" s="2" t="str">
        <f>"8P6N4L2J0HYFWDUBS"</f>
        <v>8P6N4L2J0HYFWDUBS</v>
      </c>
      <c r="N496" s="1" t="s">
        <v>64</v>
      </c>
      <c r="O496" s="1">
        <v>3074</v>
      </c>
      <c r="P496" s="2" t="str">
        <f t="shared" si="32"/>
        <v>BS9Q7O5M3K1IZGXEV</v>
      </c>
    </row>
    <row r="497" spans="1:16" x14ac:dyDescent="0.35">
      <c r="A497" s="18">
        <v>52963</v>
      </c>
      <c r="B497" s="18" t="s">
        <v>593</v>
      </c>
      <c r="C497" s="14" t="s">
        <v>525</v>
      </c>
      <c r="D497" s="15">
        <v>8</v>
      </c>
      <c r="E497" s="15"/>
      <c r="F497" s="15" t="s">
        <v>61</v>
      </c>
      <c r="G497" s="15">
        <v>1852</v>
      </c>
      <c r="H497" s="15" t="s">
        <v>68</v>
      </c>
      <c r="I497" s="16">
        <v>30741</v>
      </c>
      <c r="J497" s="15">
        <v>4</v>
      </c>
      <c r="K497" s="17" t="s">
        <v>526</v>
      </c>
      <c r="M497" s="2" t="str">
        <f>"N4L2"</f>
        <v/>
      </c>
      <c r="P497" s="2" t="str">
        <f t="shared" si="32"/>
        <v/>
      </c>
    </row>
    <row r="498" spans="1:16" x14ac:dyDescent="0.35">
      <c r="A498" s="18">
        <v>85296</v>
      </c>
      <c r="B498" s="18" t="s">
        <v>593</v>
      </c>
      <c r="C498" s="14" t="s">
        <v>527</v>
      </c>
      <c r="D498" s="15">
        <v>1</v>
      </c>
      <c r="E498" s="15"/>
      <c r="F498" s="15" t="s">
        <v>61</v>
      </c>
      <c r="G498" s="15">
        <v>4185</v>
      </c>
      <c r="H498" s="15" t="s">
        <v>68</v>
      </c>
      <c r="I498" s="16">
        <v>63074</v>
      </c>
      <c r="J498" s="15">
        <v>7</v>
      </c>
      <c r="K498" s="17" t="s">
        <v>528</v>
      </c>
      <c r="M498" s="2" t="str">
        <f>"CTAR"</f>
        <v/>
      </c>
      <c r="P498" s="2" t="str">
        <f t="shared" si="32"/>
        <v/>
      </c>
    </row>
    <row r="499" spans="1:16" x14ac:dyDescent="0.35">
      <c r="A499" s="18">
        <v>18529</v>
      </c>
      <c r="B499" s="18" t="s">
        <v>593</v>
      </c>
      <c r="C499" s="14" t="s">
        <v>529</v>
      </c>
      <c r="D499" s="15">
        <v>4</v>
      </c>
      <c r="E499" s="15"/>
      <c r="F499" s="15" t="s">
        <v>61</v>
      </c>
      <c r="G499" s="15">
        <v>7418</v>
      </c>
      <c r="H499" s="15" t="s">
        <v>68</v>
      </c>
      <c r="I499" s="16">
        <v>96307</v>
      </c>
      <c r="J499" s="15">
        <v>1</v>
      </c>
      <c r="K499" s="17" t="s">
        <v>530</v>
      </c>
      <c r="M499" s="2" t="str">
        <f>"1IZG"</f>
        <v/>
      </c>
      <c r="P499" s="2" t="str">
        <f t="shared" si="32"/>
        <v/>
      </c>
    </row>
    <row r="500" spans="1:16" x14ac:dyDescent="0.35">
      <c r="A500" s="18">
        <v>41852</v>
      </c>
      <c r="B500" s="18" t="s">
        <v>593</v>
      </c>
      <c r="C500" s="14" t="s">
        <v>531</v>
      </c>
      <c r="D500" s="15">
        <v>7</v>
      </c>
      <c r="E500" s="15"/>
      <c r="F500" s="15" t="s">
        <v>61</v>
      </c>
      <c r="G500" s="15">
        <v>1741</v>
      </c>
      <c r="H500" s="15" t="s">
        <v>68</v>
      </c>
      <c r="I500" s="16">
        <v>29630</v>
      </c>
      <c r="J500" s="15">
        <v>3</v>
      </c>
      <c r="K500" s="17" t="s">
        <v>532</v>
      </c>
      <c r="M500" s="2" t="str">
        <f>"Q7O5"</f>
        <v/>
      </c>
      <c r="P500" s="2" t="str">
        <f t="shared" si="32"/>
        <v/>
      </c>
    </row>
    <row r="501" spans="1:16" x14ac:dyDescent="0.35">
      <c r="A501" s="18">
        <v>74185</v>
      </c>
      <c r="B501" s="18" t="s">
        <v>593</v>
      </c>
      <c r="C501" s="14" t="s">
        <v>533</v>
      </c>
      <c r="D501" s="15">
        <v>1</v>
      </c>
      <c r="E501" s="15"/>
      <c r="F501" s="15" t="s">
        <v>61</v>
      </c>
      <c r="G501" s="15">
        <v>3074</v>
      </c>
      <c r="H501" s="15" t="s">
        <v>68</v>
      </c>
      <c r="I501" s="16">
        <v>52963</v>
      </c>
      <c r="J501" s="15">
        <v>6</v>
      </c>
      <c r="K501" s="17" t="s">
        <v>534</v>
      </c>
      <c r="M501" s="2" t="str">
        <f>"FWDU"</f>
        <v/>
      </c>
      <c r="P501" s="2" t="str">
        <f t="shared" si="32"/>
        <v/>
      </c>
    </row>
    <row r="502" spans="1:16" x14ac:dyDescent="0.35">
      <c r="A502" s="18">
        <v>17418</v>
      </c>
      <c r="B502" s="18" t="s">
        <v>593</v>
      </c>
      <c r="C502" s="14" t="s">
        <v>535</v>
      </c>
      <c r="D502" s="15">
        <v>3</v>
      </c>
      <c r="E502" s="15"/>
      <c r="F502" s="15" t="s">
        <v>61</v>
      </c>
      <c r="G502" s="15">
        <v>6307</v>
      </c>
      <c r="H502" s="15" t="s">
        <v>68</v>
      </c>
      <c r="I502" s="16">
        <v>85296</v>
      </c>
      <c r="J502" s="15">
        <v>9</v>
      </c>
      <c r="K502" s="17" t="s">
        <v>536</v>
      </c>
      <c r="M502" s="2" t="str">
        <f>"4L2J"</f>
        <v/>
      </c>
      <c r="P502" s="2" t="str">
        <f t="shared" si="32"/>
        <v/>
      </c>
    </row>
    <row r="503" spans="1:16" x14ac:dyDescent="0.35">
      <c r="A503" s="18">
        <v>30741</v>
      </c>
      <c r="B503" s="18" t="s">
        <v>593</v>
      </c>
      <c r="C503" s="14" t="s">
        <v>537</v>
      </c>
      <c r="D503" s="15">
        <v>6</v>
      </c>
      <c r="E503" s="15"/>
      <c r="F503" s="15" t="s">
        <v>61</v>
      </c>
      <c r="G503" s="15">
        <v>9630</v>
      </c>
      <c r="H503" s="15" t="s">
        <v>68</v>
      </c>
      <c r="I503" s="16">
        <v>18529</v>
      </c>
      <c r="J503" s="15">
        <v>2</v>
      </c>
      <c r="K503" s="17" t="s">
        <v>538</v>
      </c>
      <c r="M503" s="2" t="str">
        <f>"TAR8"</f>
        <v/>
      </c>
      <c r="P503" s="2" t="str">
        <f t="shared" si="32"/>
        <v/>
      </c>
    </row>
    <row r="504" spans="1:16" x14ac:dyDescent="0.35">
      <c r="A504" s="18">
        <v>63074</v>
      </c>
      <c r="B504" s="18" t="s">
        <v>593</v>
      </c>
      <c r="C504" s="14" t="s">
        <v>539</v>
      </c>
      <c r="D504" s="15">
        <v>9</v>
      </c>
      <c r="E504" s="15"/>
      <c r="F504" s="15" t="s">
        <v>61</v>
      </c>
      <c r="G504" s="15">
        <v>2963</v>
      </c>
      <c r="H504" s="15" t="s">
        <v>68</v>
      </c>
      <c r="I504" s="16">
        <v>41852</v>
      </c>
      <c r="J504" s="15">
        <v>5</v>
      </c>
      <c r="K504" s="17" t="s">
        <v>540</v>
      </c>
      <c r="M504" s="2" t="str">
        <f>"IZGX"</f>
        <v/>
      </c>
      <c r="P504" s="2" t="str">
        <f t="shared" si="32"/>
        <v/>
      </c>
    </row>
    <row r="505" spans="1:16" x14ac:dyDescent="0.35">
      <c r="A505" s="18">
        <v>96307</v>
      </c>
      <c r="B505" s="18" t="s">
        <v>593</v>
      </c>
      <c r="C505" s="14" t="s">
        <v>541</v>
      </c>
      <c r="D505" s="15">
        <v>2</v>
      </c>
      <c r="E505" s="15"/>
      <c r="F505" s="15" t="s">
        <v>61</v>
      </c>
      <c r="G505" s="15">
        <v>5296</v>
      </c>
      <c r="H505" s="15" t="s">
        <v>68</v>
      </c>
      <c r="I505" s="16">
        <v>74185</v>
      </c>
      <c r="J505" s="15">
        <v>8</v>
      </c>
      <c r="K505" s="17" t="s">
        <v>542</v>
      </c>
      <c r="M505" s="2" t="str">
        <f>"7O5M"</f>
        <v/>
      </c>
      <c r="P505" s="2" t="str">
        <f t="shared" si="32"/>
        <v/>
      </c>
    </row>
    <row r="506" spans="1:16" x14ac:dyDescent="0.35">
      <c r="A506" s="18">
        <v>29630</v>
      </c>
      <c r="B506" s="18" t="s">
        <v>593</v>
      </c>
      <c r="C506" s="14" t="s">
        <v>543</v>
      </c>
      <c r="D506" s="15">
        <v>5</v>
      </c>
      <c r="E506" s="15"/>
      <c r="F506" s="15" t="s">
        <v>61</v>
      </c>
      <c r="G506" s="15">
        <v>8529</v>
      </c>
      <c r="H506" s="15" t="s">
        <v>185</v>
      </c>
      <c r="I506" s="16">
        <v>17418</v>
      </c>
      <c r="J506" s="15">
        <v>1</v>
      </c>
      <c r="K506" s="17" t="s">
        <v>544</v>
      </c>
      <c r="L506" s="1" t="str">
        <f>"WDUBS9Q7O5M3K1IZG"</f>
        <v>WDUBS9Q7O5M3K1IZG</v>
      </c>
      <c r="M506" s="2" t="str">
        <f>"9Q7O5M3K1IZ"</f>
        <v>9Q7O5M3K1IZ</v>
      </c>
      <c r="N506" s="1" t="s">
        <v>102</v>
      </c>
      <c r="O506" s="1">
        <v>63</v>
      </c>
      <c r="P506" s="2" t="str">
        <f t="shared" si="32"/>
        <v>CTAR8P6N4</v>
      </c>
    </row>
    <row r="507" spans="1:16" x14ac:dyDescent="0.35">
      <c r="A507" s="18">
        <v>85296</v>
      </c>
      <c r="B507" s="18" t="s">
        <v>593</v>
      </c>
      <c r="C507" s="14" t="s">
        <v>545</v>
      </c>
      <c r="D507" s="15">
        <v>1</v>
      </c>
      <c r="E507" s="15"/>
      <c r="F507" s="15" t="s">
        <v>61</v>
      </c>
      <c r="G507" s="15">
        <v>4185</v>
      </c>
      <c r="H507" s="15" t="s">
        <v>68</v>
      </c>
      <c r="I507" s="16">
        <v>63074</v>
      </c>
      <c r="J507" s="15">
        <v>7</v>
      </c>
      <c r="K507" s="17" t="s">
        <v>546</v>
      </c>
      <c r="M507" s="2" t="str">
        <f>"O5M3"</f>
        <v/>
      </c>
      <c r="P507" s="2" t="str">
        <f t="shared" si="32"/>
        <v/>
      </c>
    </row>
    <row r="508" spans="1:16" x14ac:dyDescent="0.35">
      <c r="A508" s="18">
        <v>18529</v>
      </c>
      <c r="B508" s="18" t="s">
        <v>593</v>
      </c>
      <c r="C508" s="14" t="s">
        <v>547</v>
      </c>
      <c r="D508" s="15">
        <v>4</v>
      </c>
      <c r="E508" s="15"/>
      <c r="F508" s="15" t="s">
        <v>61</v>
      </c>
      <c r="G508" s="15">
        <v>7418</v>
      </c>
      <c r="H508" s="15" t="s">
        <v>68</v>
      </c>
      <c r="I508" s="16">
        <v>96307</v>
      </c>
      <c r="J508" s="15">
        <v>1</v>
      </c>
      <c r="K508" s="17" t="s">
        <v>548</v>
      </c>
      <c r="M508" s="2" t="str">
        <f>"DUBS"</f>
        <v/>
      </c>
      <c r="P508" s="2" t="str">
        <f t="shared" si="32"/>
        <v/>
      </c>
    </row>
    <row r="509" spans="1:16" x14ac:dyDescent="0.35">
      <c r="A509" s="18">
        <v>41852</v>
      </c>
      <c r="B509" s="18" t="s">
        <v>593</v>
      </c>
      <c r="C509" s="14" t="s">
        <v>549</v>
      </c>
      <c r="D509" s="15">
        <v>7</v>
      </c>
      <c r="E509" s="15"/>
      <c r="F509" s="15" t="s">
        <v>61</v>
      </c>
      <c r="G509" s="15">
        <v>1741</v>
      </c>
      <c r="H509" s="15" t="s">
        <v>68</v>
      </c>
      <c r="I509" s="16">
        <v>29630</v>
      </c>
      <c r="J509" s="15">
        <v>3</v>
      </c>
      <c r="K509" s="17" t="s">
        <v>550</v>
      </c>
      <c r="M509" s="2" t="str">
        <f>"2J0H"</f>
        <v/>
      </c>
      <c r="P509" s="2" t="str">
        <f t="shared" si="32"/>
        <v/>
      </c>
    </row>
    <row r="510" spans="1:16" x14ac:dyDescent="0.35">
      <c r="A510" s="18">
        <v>74185</v>
      </c>
      <c r="B510" s="18" t="s">
        <v>593</v>
      </c>
      <c r="C510" s="14" t="s">
        <v>551</v>
      </c>
      <c r="D510" s="15">
        <v>1</v>
      </c>
      <c r="E510" s="15"/>
      <c r="F510" s="15" t="s">
        <v>61</v>
      </c>
      <c r="G510" s="15">
        <v>3074</v>
      </c>
      <c r="H510" s="15" t="s">
        <v>68</v>
      </c>
      <c r="I510" s="16">
        <v>52963</v>
      </c>
      <c r="J510" s="15">
        <v>6</v>
      </c>
      <c r="K510" s="17" t="s">
        <v>552</v>
      </c>
      <c r="L510" s="1" t="s">
        <v>553</v>
      </c>
      <c r="M510" s="2" t="str">
        <f>"4L2J"</f>
        <v/>
      </c>
      <c r="P510" s="2" t="str">
        <f t="shared" si="32"/>
        <v/>
      </c>
    </row>
    <row r="511" spans="1:16" x14ac:dyDescent="0.35">
      <c r="A511" s="18">
        <v>18529</v>
      </c>
      <c r="B511" s="18" t="s">
        <v>593</v>
      </c>
      <c r="C511" s="14" t="s">
        <v>554</v>
      </c>
      <c r="D511" s="15">
        <v>4</v>
      </c>
      <c r="E511" s="15"/>
      <c r="F511" s="15" t="s">
        <v>61</v>
      </c>
      <c r="G511" s="15">
        <v>7418</v>
      </c>
      <c r="H511" s="15" t="s">
        <v>68</v>
      </c>
      <c r="I511" s="16">
        <v>96307</v>
      </c>
      <c r="J511" s="15">
        <v>1</v>
      </c>
      <c r="K511" s="17" t="s">
        <v>555</v>
      </c>
      <c r="L511" s="1" t="s">
        <v>553</v>
      </c>
      <c r="M511" s="2" t="str">
        <f>"6N4L"</f>
        <v/>
      </c>
      <c r="P511" s="2" t="str">
        <f t="shared" si="32"/>
        <v/>
      </c>
    </row>
    <row r="512" spans="1:16" x14ac:dyDescent="0.35">
      <c r="A512" s="15">
        <v>52963</v>
      </c>
      <c r="B512" s="18" t="s">
        <v>593</v>
      </c>
      <c r="C512" s="22" t="s">
        <v>573</v>
      </c>
      <c r="D512" s="15">
        <v>8</v>
      </c>
      <c r="E512" s="21">
        <v>9630</v>
      </c>
      <c r="F512" s="21" t="s">
        <v>61</v>
      </c>
      <c r="G512" s="15"/>
      <c r="H512" s="15"/>
      <c r="I512" s="15"/>
      <c r="J512" s="15"/>
      <c r="K512" s="17" t="s">
        <v>571</v>
      </c>
    </row>
    <row r="513" spans="1:15 16370:16371" x14ac:dyDescent="0.35">
      <c r="A513" s="15">
        <v>63074</v>
      </c>
      <c r="B513" s="18" t="s">
        <v>593</v>
      </c>
      <c r="C513" s="22" t="s">
        <v>574</v>
      </c>
      <c r="D513" s="15">
        <v>9</v>
      </c>
      <c r="E513" s="21">
        <v>1741</v>
      </c>
      <c r="F513" s="21" t="s">
        <v>61</v>
      </c>
      <c r="G513" s="15"/>
      <c r="H513" s="15"/>
      <c r="I513" s="15"/>
      <c r="J513" s="15"/>
      <c r="K513" s="17" t="s">
        <v>571</v>
      </c>
    </row>
    <row r="514" spans="1:15 16370:16371" x14ac:dyDescent="0.35">
      <c r="A514" s="15">
        <v>74185</v>
      </c>
      <c r="B514" s="18" t="s">
        <v>593</v>
      </c>
      <c r="C514" s="22" t="s">
        <v>575</v>
      </c>
      <c r="D514" s="15">
        <v>1</v>
      </c>
      <c r="E514" s="21">
        <v>1852</v>
      </c>
      <c r="F514" s="21" t="s">
        <v>61</v>
      </c>
      <c r="G514" s="15"/>
      <c r="H514" s="15"/>
      <c r="I514" s="15"/>
      <c r="J514" s="15"/>
      <c r="K514" s="17" t="s">
        <v>571</v>
      </c>
    </row>
    <row r="515" spans="1:15 16370:16371" x14ac:dyDescent="0.35">
      <c r="A515" s="15">
        <v>85296</v>
      </c>
      <c r="B515" s="18" t="s">
        <v>593</v>
      </c>
      <c r="C515" s="22" t="s">
        <v>576</v>
      </c>
      <c r="D515" s="15">
        <v>1</v>
      </c>
      <c r="E515" s="21">
        <v>2963</v>
      </c>
      <c r="F515" s="21" t="s">
        <v>61</v>
      </c>
      <c r="G515" s="15"/>
      <c r="H515" s="15"/>
      <c r="I515" s="15"/>
      <c r="J515" s="15"/>
      <c r="K515" s="17" t="s">
        <v>571</v>
      </c>
    </row>
    <row r="516" spans="1:15 16370:16371" x14ac:dyDescent="0.35">
      <c r="A516" s="15">
        <v>96307</v>
      </c>
      <c r="B516" s="18" t="s">
        <v>593</v>
      </c>
      <c r="C516" s="22" t="s">
        <v>577</v>
      </c>
      <c r="D516" s="15">
        <v>2</v>
      </c>
      <c r="E516" s="21">
        <v>3074</v>
      </c>
      <c r="F516" s="21" t="s">
        <v>61</v>
      </c>
      <c r="G516" s="15"/>
      <c r="H516" s="15"/>
      <c r="I516" s="15"/>
      <c r="J516" s="15"/>
      <c r="K516" s="17" t="s">
        <v>571</v>
      </c>
    </row>
    <row r="517" spans="1:15 16370:16371" x14ac:dyDescent="0.35">
      <c r="A517" s="15">
        <v>17418</v>
      </c>
      <c r="B517" s="18" t="s">
        <v>593</v>
      </c>
      <c r="C517" s="22" t="s">
        <v>578</v>
      </c>
      <c r="D517" s="15">
        <v>3</v>
      </c>
      <c r="E517" s="21">
        <v>4185</v>
      </c>
      <c r="F517" s="21" t="s">
        <v>61</v>
      </c>
      <c r="G517" s="15"/>
      <c r="H517" s="15"/>
      <c r="I517" s="15"/>
      <c r="J517" s="15"/>
      <c r="K517" s="17" t="s">
        <v>571</v>
      </c>
    </row>
    <row r="518" spans="1:15 16370:16371" x14ac:dyDescent="0.35">
      <c r="A518" s="15">
        <v>18529</v>
      </c>
      <c r="B518" s="18" t="s">
        <v>593</v>
      </c>
      <c r="C518" s="22" t="s">
        <v>579</v>
      </c>
      <c r="D518" s="15">
        <v>4</v>
      </c>
      <c r="E518" s="21">
        <v>5296</v>
      </c>
      <c r="F518" s="21" t="s">
        <v>61</v>
      </c>
      <c r="G518" s="15"/>
      <c r="H518" s="15"/>
      <c r="I518" s="15"/>
      <c r="J518" s="15"/>
      <c r="K518" s="17" t="s">
        <v>571</v>
      </c>
    </row>
    <row r="519" spans="1:15 16370:16371" x14ac:dyDescent="0.35">
      <c r="A519" s="15">
        <v>29630</v>
      </c>
      <c r="B519" s="18" t="s">
        <v>593</v>
      </c>
      <c r="C519" s="22" t="s">
        <v>580</v>
      </c>
      <c r="D519" s="15">
        <v>5</v>
      </c>
      <c r="E519" s="21">
        <v>6307</v>
      </c>
      <c r="F519" s="21" t="s">
        <v>61</v>
      </c>
      <c r="G519" s="15"/>
      <c r="H519" s="15"/>
      <c r="I519" s="15"/>
      <c r="J519" s="15"/>
      <c r="K519" s="17" t="s">
        <v>571</v>
      </c>
    </row>
    <row r="520" spans="1:15 16370:16371" x14ac:dyDescent="0.35">
      <c r="A520" s="15">
        <v>30741</v>
      </c>
      <c r="B520" s="18" t="s">
        <v>593</v>
      </c>
      <c r="C520" s="22" t="s">
        <v>581</v>
      </c>
      <c r="D520" s="15">
        <v>6</v>
      </c>
      <c r="E520" s="21">
        <v>7418</v>
      </c>
      <c r="F520" s="21" t="s">
        <v>61</v>
      </c>
      <c r="G520" s="15"/>
      <c r="H520" s="15"/>
      <c r="I520" s="15"/>
      <c r="J520" s="15"/>
      <c r="K520" s="17" t="s">
        <v>571</v>
      </c>
    </row>
    <row r="521" spans="1:15 16370:16371" x14ac:dyDescent="0.35">
      <c r="A521" s="15">
        <v>41852</v>
      </c>
      <c r="B521" s="18" t="s">
        <v>593</v>
      </c>
      <c r="C521" s="22" t="s">
        <v>582</v>
      </c>
      <c r="D521" s="15">
        <v>7</v>
      </c>
      <c r="E521" s="21">
        <v>8529</v>
      </c>
      <c r="F521" s="21" t="s">
        <v>61</v>
      </c>
      <c r="G521" s="15"/>
      <c r="H521" s="15"/>
      <c r="I521" s="15"/>
      <c r="J521" s="15"/>
      <c r="K521" s="17" t="s">
        <v>571</v>
      </c>
    </row>
    <row r="522" spans="1:15 16370:16371" x14ac:dyDescent="0.35">
      <c r="A522" s="15">
        <v>52963</v>
      </c>
      <c r="B522" s="18" t="s">
        <v>593</v>
      </c>
      <c r="C522" s="22" t="s">
        <v>583</v>
      </c>
      <c r="D522" s="15">
        <v>8</v>
      </c>
      <c r="E522" s="21">
        <v>9630</v>
      </c>
      <c r="F522" s="21" t="s">
        <v>61</v>
      </c>
      <c r="G522" s="15"/>
      <c r="H522" s="15"/>
      <c r="I522" s="15"/>
      <c r="J522" s="15"/>
      <c r="K522" s="17" t="s">
        <v>571</v>
      </c>
    </row>
    <row r="523" spans="1:15 16370:16371" x14ac:dyDescent="0.35">
      <c r="A523" s="15">
        <v>63074</v>
      </c>
      <c r="B523" s="18" t="s">
        <v>593</v>
      </c>
      <c r="C523" s="22" t="s">
        <v>584</v>
      </c>
      <c r="D523" s="15">
        <v>9</v>
      </c>
      <c r="E523" s="21">
        <v>1741</v>
      </c>
      <c r="F523" s="21" t="s">
        <v>61</v>
      </c>
      <c r="G523" s="15"/>
      <c r="H523" s="15"/>
      <c r="I523" s="15"/>
      <c r="J523" s="15"/>
      <c r="K523" s="17" t="s">
        <v>571</v>
      </c>
    </row>
    <row r="524" spans="1:15 16370:16371" x14ac:dyDescent="0.35">
      <c r="A524" s="13" t="s">
        <v>586</v>
      </c>
      <c r="B524" t="inlineStr" s="18">
        <is>
          <t>XEVCTAR8</t>
        </is>
      </c>
      <c r="C524" s="14" t="s">
        <v>587</v>
      </c>
      <c r="D524" s="15">
        <v>1</v>
      </c>
      <c r="E524" s="15"/>
      <c r="F524" s="15" t="s">
        <v>61</v>
      </c>
      <c r="G524" s="15"/>
      <c r="H524" s="15"/>
      <c r="I524" s="16"/>
      <c r="J524" s="15"/>
      <c r="K524" s="17" t="s">
        <v>588</v>
      </c>
    </row>
    <row r="525" spans="1:15 16370:16371" x14ac:dyDescent="0.35">
      <c r="A525" s="18">
        <v>85296</v>
      </c>
      <c r="B525" s="18" t="s">
        <v>592</v>
      </c>
      <c r="C525" s="14" t="s">
        <v>60</v>
      </c>
      <c r="D525" s="15">
        <v>1</v>
      </c>
      <c r="E525" s="15"/>
      <c r="F525" s="15" t="s">
        <v>61</v>
      </c>
      <c r="G525" s="15">
        <v>4185</v>
      </c>
      <c r="H525" s="15" t="s">
        <v>62</v>
      </c>
      <c r="I525" s="16">
        <v>63074</v>
      </c>
      <c r="J525" s="15">
        <v>7</v>
      </c>
      <c r="K525" s="17" t="s">
        <v>63</v>
      </c>
      <c r="L525" s="1" t="str">
        <f>"IZGXEVCTAR8P6N4L2J0H"</f>
        <v>IZGXEVCTAR8P6N4L2J0H</v>
      </c>
      <c r="M525" s="2" t="str">
        <f>"VCTAR8P6N4L2J0"</f>
        <v>VCTAR8P6N4L2J0</v>
      </c>
      <c r="N525" s="1" t="s">
        <v>64</v>
      </c>
      <c r="O525" s="1">
        <v>2963</v>
      </c>
      <c r="XEP525" s="1"/>
      <c r="XEQ525"/>
    </row>
    <row r="526" spans="1:15 16370:16371" x14ac:dyDescent="0.35">
      <c r="A526" s="18">
        <v>52963</v>
      </c>
      <c r="B526" s="18" t="s">
        <v>592</v>
      </c>
      <c r="C526" s="14" t="s">
        <v>65</v>
      </c>
      <c r="D526" s="15">
        <v>8</v>
      </c>
      <c r="E526" s="15"/>
      <c r="F526" s="15" t="s">
        <v>61</v>
      </c>
      <c r="G526" s="15">
        <v>1852</v>
      </c>
      <c r="H526" s="15" t="s">
        <v>62</v>
      </c>
      <c r="I526" s="16">
        <v>30741</v>
      </c>
      <c r="J526" s="15">
        <v>4</v>
      </c>
      <c r="K526" s="17" t="s">
        <v>66</v>
      </c>
      <c r="L526" s="1" t="str">
        <f>"N4L2J0HYFWDUBS9Q7O5M3K"</f>
        <v>N4L2J0HYFWDUBS9Q7O5M3K</v>
      </c>
      <c r="M526" s="2" t="str">
        <f>"0HYFWDUBS9Q7O5"</f>
        <v>0HYFWDUBS9Q7O5</v>
      </c>
      <c r="N526" s="1" t="s">
        <v>64</v>
      </c>
      <c r="O526" s="1">
        <v>963074</v>
      </c>
      <c r="XEP526" s="1"/>
      <c r="XEQ526"/>
    </row>
    <row r="527" spans="1:15 16370:16371" x14ac:dyDescent="0.35">
      <c r="A527" s="18">
        <v>29630</v>
      </c>
      <c r="B527" s="18" t="s">
        <v>592</v>
      </c>
      <c r="C527" s="14" t="s">
        <v>67</v>
      </c>
      <c r="D527" s="15">
        <v>5</v>
      </c>
      <c r="E527" s="15"/>
      <c r="F527" s="15" t="s">
        <v>61</v>
      </c>
      <c r="G527" s="15">
        <v>8529</v>
      </c>
      <c r="H527" s="15" t="s">
        <v>68</v>
      </c>
      <c r="I527" s="16">
        <v>17418</v>
      </c>
      <c r="J527" s="15">
        <v>1</v>
      </c>
      <c r="K527" s="17" t="s">
        <v>69</v>
      </c>
      <c r="M527" s="2" t="str">
        <f>"S9Q7"</f>
        <v/>
      </c>
      <c r="XEP527" s="1"/>
      <c r="XEQ527"/>
    </row>
    <row r="528" spans="1:15 16370:16371" x14ac:dyDescent="0.35">
      <c r="A528" s="18">
        <v>63074</v>
      </c>
      <c r="B528" s="18" t="s">
        <v>592</v>
      </c>
      <c r="C528" s="14" t="s">
        <v>70</v>
      </c>
      <c r="D528" s="15">
        <v>9</v>
      </c>
      <c r="E528" s="15"/>
      <c r="F528" s="15" t="s">
        <v>61</v>
      </c>
      <c r="G528" s="15">
        <v>2963</v>
      </c>
      <c r="H528" s="15" t="s">
        <v>68</v>
      </c>
      <c r="I528" s="16">
        <v>41852</v>
      </c>
      <c r="J528" s="15">
        <v>5</v>
      </c>
      <c r="K528" s="17" t="s">
        <v>71</v>
      </c>
      <c r="M528" s="2" t="str">
        <f>"UBS9"</f>
        <v/>
      </c>
      <c r="XEP528" s="1"/>
      <c r="XEQ528"/>
    </row>
    <row r="529" spans="1:15 16370:16371" x14ac:dyDescent="0.35">
      <c r="A529" s="18">
        <v>17418</v>
      </c>
      <c r="B529" s="18" t="s">
        <v>592</v>
      </c>
      <c r="C529" s="14" t="s">
        <v>72</v>
      </c>
      <c r="D529" s="15">
        <v>3</v>
      </c>
      <c r="E529" s="15"/>
      <c r="F529" s="15" t="s">
        <v>61</v>
      </c>
      <c r="G529" s="15">
        <v>6307</v>
      </c>
      <c r="H529" s="15" t="s">
        <v>68</v>
      </c>
      <c r="I529" s="16">
        <v>85296</v>
      </c>
      <c r="J529" s="15">
        <v>9</v>
      </c>
      <c r="K529" s="17" t="s">
        <v>73</v>
      </c>
      <c r="M529" s="2" t="str">
        <f>"WDUB"</f>
        <v/>
      </c>
      <c r="XEP529" s="1"/>
      <c r="XEQ529"/>
    </row>
    <row r="530" spans="1:15 16370:16371" x14ac:dyDescent="0.35">
      <c r="A530" s="18">
        <v>41852</v>
      </c>
      <c r="B530" s="18" t="s">
        <v>592</v>
      </c>
      <c r="C530" s="14" t="s">
        <v>74</v>
      </c>
      <c r="D530" s="15">
        <v>7</v>
      </c>
      <c r="E530" s="15"/>
      <c r="F530" s="15" t="s">
        <v>61</v>
      </c>
      <c r="G530" s="15">
        <v>1741</v>
      </c>
      <c r="H530" s="15" t="s">
        <v>75</v>
      </c>
      <c r="I530" s="16">
        <v>29630</v>
      </c>
      <c r="J530" s="15">
        <v>3</v>
      </c>
      <c r="K530" s="17" t="s">
        <v>76</v>
      </c>
      <c r="L530" s="1" t="str">
        <f>"YFWDUBS9Q7O5M3K1IZGX"</f>
        <v>YFWDUBS9Q7O5M3K1IZGX</v>
      </c>
      <c r="M530" s="2" t="str">
        <f>"BS9Q7O5M3K1IZGXEV"</f>
        <v>BS9Q7O5M3K1IZGXEV</v>
      </c>
      <c r="N530" s="1" t="s">
        <v>64</v>
      </c>
      <c r="O530" s="1">
        <v>8529</v>
      </c>
      <c r="XEP530" s="1"/>
      <c r="XEQ530"/>
    </row>
    <row r="531" spans="1:15 16370:16371" x14ac:dyDescent="0.35">
      <c r="A531" s="18">
        <v>18529</v>
      </c>
      <c r="B531" s="18" t="s">
        <v>592</v>
      </c>
      <c r="C531" s="14" t="s">
        <v>77</v>
      </c>
      <c r="D531" s="15">
        <v>4</v>
      </c>
      <c r="E531" s="15"/>
      <c r="F531" s="15" t="s">
        <v>61</v>
      </c>
      <c r="G531" s="15">
        <v>7418</v>
      </c>
      <c r="H531" s="15" t="s">
        <v>68</v>
      </c>
      <c r="I531" s="16">
        <v>96307</v>
      </c>
      <c r="J531" s="15">
        <v>1</v>
      </c>
      <c r="K531" s="17" t="s">
        <v>78</v>
      </c>
      <c r="M531" s="2" t="str">
        <f>"3K1I"</f>
        <v/>
      </c>
      <c r="XEP531" s="1"/>
      <c r="XEQ531"/>
    </row>
    <row r="532" spans="1:15 16370:16371" x14ac:dyDescent="0.35">
      <c r="A532" s="18">
        <v>52963</v>
      </c>
      <c r="B532" s="18" t="s">
        <v>592</v>
      </c>
      <c r="C532" s="14" t="s">
        <v>79</v>
      </c>
      <c r="D532" s="15">
        <v>8</v>
      </c>
      <c r="E532" s="15"/>
      <c r="F532" s="15" t="s">
        <v>61</v>
      </c>
      <c r="G532" s="15">
        <v>1852</v>
      </c>
      <c r="H532" s="15" t="s">
        <v>75</v>
      </c>
      <c r="I532" s="16">
        <v>30741</v>
      </c>
      <c r="J532" s="15">
        <v>4</v>
      </c>
      <c r="K532" s="17" t="s">
        <v>80</v>
      </c>
      <c r="L532" s="1" t="str">
        <f>"5M3K1IZGXEVCTAR8P6N4"</f>
        <v>5M3K1IZGXEVCTAR8P6N4</v>
      </c>
      <c r="M532" s="2" t="str">
        <f>"IZGXEVCTAR8P6N4L2"</f>
        <v>IZGXEVCTAR8P6N4L2</v>
      </c>
      <c r="N532" s="1" t="s">
        <v>64</v>
      </c>
      <c r="O532" s="1">
        <v>9630</v>
      </c>
    </row>
    <row r="533" spans="1:15 16370:16371" x14ac:dyDescent="0.35">
      <c r="A533" s="18">
        <v>17418</v>
      </c>
      <c r="B533" s="18" t="s">
        <v>592</v>
      </c>
      <c r="C533" s="14" t="s">
        <v>81</v>
      </c>
      <c r="D533" s="15">
        <v>3</v>
      </c>
      <c r="E533" s="15"/>
      <c r="F533" s="15" t="s">
        <v>61</v>
      </c>
      <c r="G533" s="15">
        <v>6307</v>
      </c>
      <c r="H533" s="15" t="s">
        <v>68</v>
      </c>
      <c r="I533" s="16">
        <v>85296</v>
      </c>
      <c r="J533" s="15">
        <v>9</v>
      </c>
      <c r="K533" s="17" t="s">
        <v>82</v>
      </c>
      <c r="M533" s="2" t="str">
        <f>"K1IZ"</f>
        <v/>
      </c>
    </row>
    <row r="534" spans="1:15 16370:16371" x14ac:dyDescent="0.35">
      <c r="A534" s="18">
        <v>29630</v>
      </c>
      <c r="B534" s="18" t="s">
        <v>592</v>
      </c>
      <c r="C534" s="14" t="s">
        <v>83</v>
      </c>
      <c r="D534" s="15">
        <v>5</v>
      </c>
      <c r="E534" s="15"/>
      <c r="F534" s="15" t="s">
        <v>61</v>
      </c>
      <c r="G534" s="15">
        <v>8529</v>
      </c>
      <c r="H534" s="15" t="s">
        <v>68</v>
      </c>
      <c r="I534" s="16">
        <v>17418</v>
      </c>
      <c r="J534" s="15">
        <v>1</v>
      </c>
      <c r="K534" s="17" t="s">
        <v>84</v>
      </c>
      <c r="M534" s="2" t="str">
        <f>"WDUB"</f>
        <v/>
      </c>
    </row>
    <row r="535" spans="1:15 16370:16371" x14ac:dyDescent="0.35">
      <c r="A535" s="18">
        <v>41852</v>
      </c>
      <c r="B535" s="18" t="s">
        <v>592</v>
      </c>
      <c r="C535" s="14" t="s">
        <v>85</v>
      </c>
      <c r="D535" s="15">
        <v>7</v>
      </c>
      <c r="E535" s="15"/>
      <c r="F535" s="15" t="s">
        <v>61</v>
      </c>
      <c r="G535" s="15">
        <v>1741</v>
      </c>
      <c r="H535" s="15" t="s">
        <v>68</v>
      </c>
      <c r="I535" s="16">
        <v>29630</v>
      </c>
      <c r="J535" s="15">
        <v>3</v>
      </c>
      <c r="K535" s="17" t="s">
        <v>86</v>
      </c>
      <c r="M535" s="2" t="str">
        <f>"8P6N"</f>
        <v/>
      </c>
    </row>
    <row r="536" spans="1:15 16370:16371" x14ac:dyDescent="0.35">
      <c r="A536" s="18">
        <v>63074</v>
      </c>
      <c r="B536" s="18" t="s">
        <v>592</v>
      </c>
      <c r="C536" s="14" t="s">
        <v>87</v>
      </c>
      <c r="D536" s="15">
        <v>9</v>
      </c>
      <c r="E536" s="15"/>
      <c r="F536" s="15" t="s">
        <v>61</v>
      </c>
      <c r="G536" s="15">
        <v>2963</v>
      </c>
      <c r="H536" s="15" t="s">
        <v>88</v>
      </c>
      <c r="I536" s="16">
        <v>41852</v>
      </c>
      <c r="J536" s="15">
        <v>5</v>
      </c>
      <c r="K536" s="17" t="s">
        <v>89</v>
      </c>
      <c r="L536" s="1" t="str">
        <f>"K1IZGXEVCTAR8P6N4L2J"</f>
        <v>K1IZGXEVCTAR8P6N4L2J</v>
      </c>
      <c r="M536" s="2" t="str">
        <f>"XEVCTAR8P6N4L2J0H"</f>
        <v>XEVCTAR8P6N4L2J0H</v>
      </c>
      <c r="N536" s="1" t="s">
        <v>64</v>
      </c>
      <c r="O536" s="1">
        <v>1741</v>
      </c>
    </row>
    <row r="537" spans="1:15 16370:16371" x14ac:dyDescent="0.35">
      <c r="A537" s="18">
        <v>18529</v>
      </c>
      <c r="B537" s="18" t="s">
        <v>592</v>
      </c>
      <c r="C537" s="14" t="s">
        <v>90</v>
      </c>
      <c r="D537" s="15">
        <v>4</v>
      </c>
      <c r="E537" s="15"/>
      <c r="F537" s="15" t="s">
        <v>61</v>
      </c>
      <c r="G537" s="15">
        <v>7418</v>
      </c>
      <c r="H537" s="15" t="s">
        <v>68</v>
      </c>
      <c r="I537" s="16">
        <v>96307</v>
      </c>
      <c r="J537" s="15">
        <v>1</v>
      </c>
      <c r="K537" s="17" t="s">
        <v>91</v>
      </c>
      <c r="M537" s="2" t="str">
        <f>"ZGXE"</f>
        <v/>
      </c>
    </row>
    <row r="538" spans="1:15 16370:16371" x14ac:dyDescent="0.35">
      <c r="A538" s="18">
        <v>30741</v>
      </c>
      <c r="B538" s="18" t="s">
        <v>592</v>
      </c>
      <c r="C538" s="14" t="s">
        <v>92</v>
      </c>
      <c r="D538" s="15">
        <v>6</v>
      </c>
      <c r="E538" s="15"/>
      <c r="F538" s="15" t="s">
        <v>61</v>
      </c>
      <c r="G538" s="15">
        <v>9630</v>
      </c>
      <c r="H538" s="15" t="s">
        <v>88</v>
      </c>
      <c r="I538" s="16">
        <v>18529</v>
      </c>
      <c r="J538" s="15">
        <v>2</v>
      </c>
      <c r="K538" s="17" t="s">
        <v>93</v>
      </c>
      <c r="L538" s="1" t="str">
        <f>"BS9Q7O5M3K1IZGXEVCTA"</f>
        <v>BS9Q7O5M3K1IZGXEVCTA</v>
      </c>
      <c r="M538" s="2" t="str">
        <f>"O5M3K1IZGXEVCTAR"</f>
        <v>O5M3K1IZGXEVCTAR</v>
      </c>
      <c r="N538" s="1" t="s">
        <v>64</v>
      </c>
      <c r="O538" s="1">
        <v>7418</v>
      </c>
    </row>
    <row r="539" spans="1:15 16370:16371" x14ac:dyDescent="0.35">
      <c r="A539" s="18">
        <v>85296</v>
      </c>
      <c r="B539" s="18" t="s">
        <v>592</v>
      </c>
      <c r="C539" s="14" t="s">
        <v>94</v>
      </c>
      <c r="D539" s="15">
        <v>1</v>
      </c>
      <c r="E539" s="15"/>
      <c r="F539" s="15" t="s">
        <v>61</v>
      </c>
      <c r="G539" s="15">
        <v>4185</v>
      </c>
      <c r="H539" s="15" t="s">
        <v>68</v>
      </c>
      <c r="I539" s="16">
        <v>63074</v>
      </c>
      <c r="J539" s="15">
        <v>7</v>
      </c>
      <c r="K539" s="17" t="s">
        <v>95</v>
      </c>
      <c r="M539" s="2" t="str">
        <f>"Q7O5"</f>
        <v/>
      </c>
    </row>
    <row r="540" spans="1:15 16370:16371" x14ac:dyDescent="0.35">
      <c r="A540" s="18">
        <v>17418</v>
      </c>
      <c r="B540" s="18" t="s">
        <v>592</v>
      </c>
      <c r="C540" s="14" t="s">
        <v>96</v>
      </c>
      <c r="D540" s="15">
        <v>3</v>
      </c>
      <c r="E540" s="15"/>
      <c r="F540" s="15" t="s">
        <v>61</v>
      </c>
      <c r="G540" s="15">
        <v>6307</v>
      </c>
      <c r="H540" s="15" t="s">
        <v>68</v>
      </c>
      <c r="I540" s="16">
        <v>85296</v>
      </c>
      <c r="J540" s="15">
        <v>9</v>
      </c>
      <c r="K540" s="17" t="s">
        <v>97</v>
      </c>
      <c r="M540" s="2" t="str">
        <f>"2J0H"</f>
        <v/>
      </c>
    </row>
    <row r="541" spans="1:15 16370:16371" x14ac:dyDescent="0.35">
      <c r="A541" s="18">
        <v>29630</v>
      </c>
      <c r="B541" s="18" t="s">
        <v>592</v>
      </c>
      <c r="C541" s="14" t="s">
        <v>98</v>
      </c>
      <c r="D541" s="15">
        <v>5</v>
      </c>
      <c r="E541" s="15"/>
      <c r="F541" s="15" t="s">
        <v>61</v>
      </c>
      <c r="G541" s="15">
        <v>8529</v>
      </c>
      <c r="H541" s="15" t="s">
        <v>68</v>
      </c>
      <c r="I541" s="16">
        <v>17418</v>
      </c>
      <c r="J541" s="15">
        <v>1</v>
      </c>
      <c r="K541" s="17" t="s">
        <v>99</v>
      </c>
      <c r="M541" s="2" t="str">
        <f>"EVCT"</f>
        <v/>
      </c>
    </row>
    <row r="542" spans="1:15 16370:16371" x14ac:dyDescent="0.35">
      <c r="A542" s="18">
        <v>41852</v>
      </c>
      <c r="B542" s="18" t="s">
        <v>592</v>
      </c>
      <c r="C542" s="14" t="s">
        <v>100</v>
      </c>
      <c r="D542" s="15">
        <v>7</v>
      </c>
      <c r="E542" s="15"/>
      <c r="F542" s="15" t="s">
        <v>61</v>
      </c>
      <c r="G542" s="15">
        <v>1741</v>
      </c>
      <c r="H542" s="15" t="s">
        <v>75</v>
      </c>
      <c r="I542" s="16">
        <v>29630</v>
      </c>
      <c r="J542" s="15">
        <v>3</v>
      </c>
      <c r="K542" s="17" t="s">
        <v>101</v>
      </c>
      <c r="L542" s="1" t="str">
        <f>"Q7O5M3K1IZGXEVCT"</f>
        <v>Q7O5M3K1IZGXEVCT</v>
      </c>
      <c r="M542" s="2" t="str">
        <f>"3K1IZGXE"</f>
        <v>3K1IZGXE</v>
      </c>
      <c r="N542" s="1" t="s">
        <v>102</v>
      </c>
      <c r="O542" s="1">
        <v>8</v>
      </c>
    </row>
    <row r="543" spans="1:15 16370:16371" x14ac:dyDescent="0.35">
      <c r="A543" s="18">
        <v>96307</v>
      </c>
      <c r="B543" s="18" t="s">
        <v>592</v>
      </c>
      <c r="C543" s="14" t="s">
        <v>103</v>
      </c>
      <c r="D543" s="15">
        <v>2</v>
      </c>
      <c r="E543" s="15"/>
      <c r="F543" s="15" t="s">
        <v>61</v>
      </c>
      <c r="G543" s="15">
        <v>5296</v>
      </c>
      <c r="H543" s="15" t="s">
        <v>75</v>
      </c>
      <c r="I543" s="16">
        <v>74185</v>
      </c>
      <c r="J543" s="15">
        <v>8</v>
      </c>
      <c r="K543" s="17" t="s">
        <v>104</v>
      </c>
      <c r="L543" s="1" t="str">
        <f>"5M3K1IZGXEVCTAR8P6N4L2"</f>
        <v>5M3K1IZGXEVCTAR8P6N4L2</v>
      </c>
      <c r="M543" s="2" t="str">
        <f>"IZGXEVCTAR8P6N4L"</f>
        <v>IZGXEVCTAR8P6N4L</v>
      </c>
      <c r="N543" s="1" t="s">
        <v>64</v>
      </c>
      <c r="O543" s="1">
        <v>307418</v>
      </c>
    </row>
    <row r="544" spans="1:15 16370:16371" x14ac:dyDescent="0.35">
      <c r="A544" s="18">
        <v>41852</v>
      </c>
      <c r="B544" s="18" t="s">
        <v>592</v>
      </c>
      <c r="C544" s="14" t="s">
        <v>105</v>
      </c>
      <c r="D544" s="15">
        <v>7</v>
      </c>
      <c r="E544" s="15"/>
      <c r="F544" s="15" t="s">
        <v>61</v>
      </c>
      <c r="G544" s="15">
        <v>1741</v>
      </c>
      <c r="H544" s="15" t="s">
        <v>75</v>
      </c>
      <c r="I544" s="16">
        <v>29630</v>
      </c>
      <c r="J544" s="15">
        <v>3</v>
      </c>
      <c r="K544" s="17" t="s">
        <v>106</v>
      </c>
      <c r="L544" s="1" t="str">
        <f>"K1IZGXEVCTAR8P6N4L2J"</f>
        <v>K1IZGXEVCTAR8P6N4L2J</v>
      </c>
      <c r="M544" s="2" t="str">
        <f>"XEVCTAR8P6N4L2J0H"</f>
        <v>XEVCTAR8P6N4L2J0H</v>
      </c>
      <c r="N544" s="1" t="s">
        <v>64</v>
      </c>
      <c r="O544" s="1">
        <v>8529</v>
      </c>
    </row>
    <row r="545" spans="1:15" x14ac:dyDescent="0.35">
      <c r="A545" s="18">
        <v>96307</v>
      </c>
      <c r="B545" s="18" t="s">
        <v>592</v>
      </c>
      <c r="C545" s="14" t="s">
        <v>107</v>
      </c>
      <c r="D545" s="15">
        <v>2</v>
      </c>
      <c r="E545" s="15"/>
      <c r="F545" s="15" t="s">
        <v>61</v>
      </c>
      <c r="G545" s="15">
        <v>5296</v>
      </c>
      <c r="H545" s="15" t="s">
        <v>75</v>
      </c>
      <c r="I545" s="16">
        <v>74185</v>
      </c>
      <c r="J545" s="15">
        <v>8</v>
      </c>
      <c r="K545" s="17" t="s">
        <v>108</v>
      </c>
      <c r="L545" s="1" t="str">
        <f>"ZGXEVCTAR8P6N4L2J0HY"</f>
        <v>ZGXEVCTAR8P6N4L2J0HY</v>
      </c>
      <c r="M545" s="2" t="str">
        <f>"CTAR8P6N4L2J0HYFW"</f>
        <v>CTAR8P6N4L2J0HYFW</v>
      </c>
      <c r="N545" s="1" t="s">
        <v>64</v>
      </c>
      <c r="O545" s="1">
        <v>3074</v>
      </c>
    </row>
    <row r="546" spans="1:15" x14ac:dyDescent="0.35">
      <c r="A546" s="18">
        <v>41852</v>
      </c>
      <c r="B546" s="18" t="s">
        <v>592</v>
      </c>
      <c r="C546" s="14" t="s">
        <v>109</v>
      </c>
      <c r="D546" s="15">
        <v>7</v>
      </c>
      <c r="E546" s="15"/>
      <c r="F546" s="15" t="s">
        <v>61</v>
      </c>
      <c r="G546" s="15">
        <v>1741</v>
      </c>
      <c r="H546" s="15" t="s">
        <v>68</v>
      </c>
      <c r="I546" s="16">
        <v>29630</v>
      </c>
      <c r="J546" s="15">
        <v>3</v>
      </c>
      <c r="K546" s="17" t="s">
        <v>110</v>
      </c>
      <c r="M546" s="2" t="str">
        <f>"EVCT"</f>
        <v/>
      </c>
    </row>
    <row r="547" spans="1:15" x14ac:dyDescent="0.35">
      <c r="A547" s="18">
        <v>63074</v>
      </c>
      <c r="B547" s="18" t="s">
        <v>592</v>
      </c>
      <c r="C547" s="14" t="s">
        <v>111</v>
      </c>
      <c r="D547" s="15">
        <v>9</v>
      </c>
      <c r="E547" s="15"/>
      <c r="F547" s="15" t="s">
        <v>61</v>
      </c>
      <c r="G547" s="15">
        <v>2963</v>
      </c>
      <c r="H547" s="15" t="s">
        <v>68</v>
      </c>
      <c r="I547" s="16">
        <v>41852</v>
      </c>
      <c r="J547" s="15">
        <v>5</v>
      </c>
      <c r="K547" s="17" t="s">
        <v>112</v>
      </c>
      <c r="M547" s="2" t="str">
        <f>"Q7O5"</f>
        <v/>
      </c>
    </row>
    <row r="548" spans="1:15" x14ac:dyDescent="0.35">
      <c r="A548" s="18">
        <v>85296</v>
      </c>
      <c r="B548" s="18" t="s">
        <v>592</v>
      </c>
      <c r="C548" s="14" t="s">
        <v>113</v>
      </c>
      <c r="D548" s="15">
        <v>1</v>
      </c>
      <c r="E548" s="15"/>
      <c r="F548" s="15" t="s">
        <v>61</v>
      </c>
      <c r="G548" s="15">
        <v>4185</v>
      </c>
      <c r="H548" s="15" t="s">
        <v>114</v>
      </c>
      <c r="I548" s="16">
        <v>63074</v>
      </c>
      <c r="J548" s="15">
        <v>7</v>
      </c>
      <c r="K548" s="17" t="s">
        <v>115</v>
      </c>
      <c r="L548" s="1" t="str">
        <f>"2J0HYFWDUBS9Q7O5M3K1"</f>
        <v>2J0HYFWDUBS9Q7O5M3K1</v>
      </c>
      <c r="M548" s="2" t="str">
        <f>"FWDUBS9Q7O5M3K"</f>
        <v>FWDUBS9Q7O5M3K</v>
      </c>
      <c r="N548" s="1" t="s">
        <v>64</v>
      </c>
      <c r="O548" s="1">
        <v>2963</v>
      </c>
    </row>
    <row r="549" spans="1:15" x14ac:dyDescent="0.35">
      <c r="A549" s="18">
        <v>30741</v>
      </c>
      <c r="B549" s="18" t="s">
        <v>592</v>
      </c>
      <c r="C549" s="14" t="s">
        <v>116</v>
      </c>
      <c r="D549" s="15">
        <v>6</v>
      </c>
      <c r="E549" s="15"/>
      <c r="F549" s="15" t="s">
        <v>61</v>
      </c>
      <c r="G549" s="15">
        <v>9630</v>
      </c>
      <c r="H549" s="15" t="s">
        <v>114</v>
      </c>
      <c r="I549" s="16">
        <v>18529</v>
      </c>
      <c r="J549" s="15">
        <v>2</v>
      </c>
      <c r="K549" s="17" t="s">
        <v>117</v>
      </c>
      <c r="L549" s="1" t="str">
        <f>"HYFWDUBS9Q7O5M3K1IZG"</f>
        <v>HYFWDUBS9Q7O5M3K1IZG</v>
      </c>
      <c r="M549" s="2" t="str">
        <f>"UBS9Q7O5M3K1IZGXE"</f>
        <v>UBS9Q7O5M3K1IZGXE</v>
      </c>
      <c r="N549" s="1" t="s">
        <v>64</v>
      </c>
      <c r="O549" s="1">
        <v>7418</v>
      </c>
    </row>
    <row r="550" spans="1:15" x14ac:dyDescent="0.35">
      <c r="A550" s="18">
        <v>85296</v>
      </c>
      <c r="B550" s="18" t="s">
        <v>592</v>
      </c>
      <c r="C550" s="14" t="s">
        <v>118</v>
      </c>
      <c r="D550" s="15">
        <v>1</v>
      </c>
      <c r="E550" s="15"/>
      <c r="F550" s="15" t="s">
        <v>61</v>
      </c>
      <c r="G550" s="15">
        <v>4185</v>
      </c>
      <c r="H550" s="15" t="s">
        <v>114</v>
      </c>
      <c r="I550" s="16">
        <v>63074</v>
      </c>
      <c r="J550" s="15">
        <v>7</v>
      </c>
      <c r="K550" s="17" t="s">
        <v>119</v>
      </c>
      <c r="L550" s="1" t="str">
        <f t="shared" ref="L550:L552" si="33">"WDUBS9Q7O5M3K1IZGXEV"</f>
        <v>WDUBS9Q7O5M3K1IZGXEV</v>
      </c>
      <c r="M550" s="2" t="str">
        <f>"9Q7O5M3K1IZGXEV"</f>
        <v>9Q7O5M3K1IZGXEV</v>
      </c>
      <c r="N550" s="1" t="s">
        <v>64</v>
      </c>
      <c r="O550" s="1">
        <v>2963</v>
      </c>
    </row>
    <row r="551" spans="1:15" x14ac:dyDescent="0.35">
      <c r="A551" s="18">
        <v>30741</v>
      </c>
      <c r="B551" s="18" t="s">
        <v>592</v>
      </c>
      <c r="C551" s="14" t="s">
        <v>120</v>
      </c>
      <c r="D551" s="15">
        <v>6</v>
      </c>
      <c r="E551" s="15"/>
      <c r="F551" s="15" t="s">
        <v>61</v>
      </c>
      <c r="G551" s="15">
        <v>9630</v>
      </c>
      <c r="H551" s="15" t="s">
        <v>114</v>
      </c>
      <c r="I551" s="16">
        <v>18529</v>
      </c>
      <c r="J551" s="15">
        <v>2</v>
      </c>
      <c r="K551" s="17" t="s">
        <v>121</v>
      </c>
      <c r="L551" s="1" t="str">
        <f t="shared" si="33"/>
        <v>BS9Q7O5M3K1IZGXEVCTA</v>
      </c>
      <c r="M551" s="2" t="str">
        <f>"O5M3K1IZGXEVCTAR8"</f>
        <v>O5M3K1IZGXEVCTAR8</v>
      </c>
      <c r="N551" s="1" t="s">
        <v>64</v>
      </c>
      <c r="O551" s="1">
        <v>7418</v>
      </c>
    </row>
    <row r="552" spans="1:15" x14ac:dyDescent="0.35">
      <c r="A552" s="18">
        <v>85296</v>
      </c>
      <c r="B552" s="18" t="s">
        <v>592</v>
      </c>
      <c r="C552" s="14" t="s">
        <v>122</v>
      </c>
      <c r="D552" s="15">
        <v>1</v>
      </c>
      <c r="E552" s="15"/>
      <c r="F552" s="15" t="s">
        <v>61</v>
      </c>
      <c r="G552" s="15">
        <v>4185</v>
      </c>
      <c r="H552" s="15" t="s">
        <v>114</v>
      </c>
      <c r="I552" s="16">
        <v>63074</v>
      </c>
      <c r="J552" s="15">
        <v>7</v>
      </c>
      <c r="K552" s="17" t="s">
        <v>123</v>
      </c>
      <c r="L552" s="1" t="str">
        <f t="shared" si="33"/>
        <v>Q7O5M3K1IZGXEVCTA</v>
      </c>
      <c r="M552" s="2" t="str">
        <f>"3K1IZGXEV"</f>
        <v>3K1IZGXEV</v>
      </c>
      <c r="N552" s="1" t="s">
        <v>102</v>
      </c>
      <c r="O552" s="1">
        <v>29</v>
      </c>
    </row>
    <row r="553" spans="1:15" x14ac:dyDescent="0.35">
      <c r="A553" s="18">
        <v>30741</v>
      </c>
      <c r="B553" s="18" t="s">
        <v>592</v>
      </c>
      <c r="C553" s="14" t="s">
        <v>124</v>
      </c>
      <c r="D553" s="15">
        <v>6</v>
      </c>
      <c r="E553" s="15"/>
      <c r="F553" s="15" t="s">
        <v>61</v>
      </c>
      <c r="G553" s="15">
        <v>9630</v>
      </c>
      <c r="H553" s="15" t="s">
        <v>68</v>
      </c>
      <c r="I553" s="16">
        <v>18529</v>
      </c>
      <c r="J553" s="15">
        <v>2</v>
      </c>
      <c r="K553" s="17" t="s">
        <v>125</v>
      </c>
      <c r="M553" s="2" t="str">
        <f>"5M3K"</f>
        <v/>
      </c>
    </row>
    <row r="554" spans="1:15" x14ac:dyDescent="0.35">
      <c r="A554" s="18">
        <v>52963</v>
      </c>
      <c r="B554" s="18" t="s">
        <v>592</v>
      </c>
      <c r="C554" s="14" t="s">
        <v>126</v>
      </c>
      <c r="D554" s="15">
        <v>8</v>
      </c>
      <c r="E554" s="15"/>
      <c r="F554" s="15" t="s">
        <v>61</v>
      </c>
      <c r="G554" s="15">
        <v>1852</v>
      </c>
      <c r="H554" s="15" t="s">
        <v>114</v>
      </c>
      <c r="I554" s="16">
        <v>30741</v>
      </c>
      <c r="J554" s="15">
        <v>4</v>
      </c>
      <c r="K554" s="17" t="s">
        <v>127</v>
      </c>
      <c r="L554" s="1" t="str">
        <f t="shared" ref="L554" si="34">"HYFWDUBS9Q7O5M3K1IZG"</f>
        <v>HYFWDUBS9Q7O5M3K1IZG</v>
      </c>
      <c r="M554" s="2" t="str">
        <f>"UBS9Q7O5M3K1IZGXE"</f>
        <v>UBS9Q7O5M3K1IZGXE</v>
      </c>
      <c r="N554" s="1" t="s">
        <v>64</v>
      </c>
      <c r="O554" s="1">
        <v>9630</v>
      </c>
    </row>
    <row r="555" spans="1:15" x14ac:dyDescent="0.35">
      <c r="A555" s="18">
        <v>17418</v>
      </c>
      <c r="B555" s="18" t="s">
        <v>592</v>
      </c>
      <c r="C555" s="14" t="s">
        <v>128</v>
      </c>
      <c r="D555" s="15">
        <v>3</v>
      </c>
      <c r="E555" s="15"/>
      <c r="F555" s="15" t="s">
        <v>61</v>
      </c>
      <c r="G555" s="15">
        <v>6307</v>
      </c>
      <c r="H555" s="15" t="s">
        <v>68</v>
      </c>
      <c r="I555" s="16">
        <v>85296</v>
      </c>
      <c r="J555" s="15">
        <v>9</v>
      </c>
      <c r="K555" s="17" t="s">
        <v>129</v>
      </c>
      <c r="M555" s="2" t="str">
        <f>"WDUB"</f>
        <v/>
      </c>
    </row>
    <row r="556" spans="1:15" x14ac:dyDescent="0.35">
      <c r="A556" s="18">
        <v>29630</v>
      </c>
      <c r="B556" s="18" t="s">
        <v>592</v>
      </c>
      <c r="C556" s="14" t="s">
        <v>130</v>
      </c>
      <c r="D556" s="15">
        <v>5</v>
      </c>
      <c r="E556" s="15"/>
      <c r="F556" s="15" t="s">
        <v>61</v>
      </c>
      <c r="G556" s="15">
        <v>8529</v>
      </c>
      <c r="H556" s="15" t="s">
        <v>68</v>
      </c>
      <c r="I556" s="16">
        <v>17418</v>
      </c>
      <c r="J556" s="15">
        <v>1</v>
      </c>
      <c r="K556" s="17" t="s">
        <v>131</v>
      </c>
      <c r="M556" s="2" t="str">
        <f>"8P6N"</f>
        <v/>
      </c>
    </row>
    <row r="557" spans="1:15" x14ac:dyDescent="0.35">
      <c r="A557" s="18">
        <v>41852</v>
      </c>
      <c r="B557" s="18" t="s">
        <v>592</v>
      </c>
      <c r="C557" s="14" t="s">
        <v>132</v>
      </c>
      <c r="D557" s="15">
        <v>7</v>
      </c>
      <c r="E557" s="15"/>
      <c r="F557" s="15" t="s">
        <v>61</v>
      </c>
      <c r="G557" s="15">
        <v>1741</v>
      </c>
      <c r="H557" s="15" t="s">
        <v>68</v>
      </c>
      <c r="I557" s="16">
        <v>29630</v>
      </c>
      <c r="J557" s="15">
        <v>3</v>
      </c>
      <c r="K557" s="17" t="s">
        <v>133</v>
      </c>
      <c r="M557" s="2" t="str">
        <f>"K1IZ"</f>
        <v/>
      </c>
    </row>
    <row r="558" spans="1:15" x14ac:dyDescent="0.35">
      <c r="A558" s="18">
        <v>63074</v>
      </c>
      <c r="B558" s="18" t="s">
        <v>592</v>
      </c>
      <c r="C558" s="14" t="s">
        <v>134</v>
      </c>
      <c r="D558" s="15">
        <v>9</v>
      </c>
      <c r="E558" s="15"/>
      <c r="F558" s="15" t="s">
        <v>61</v>
      </c>
      <c r="G558" s="15">
        <v>2963</v>
      </c>
      <c r="H558" s="15" t="s">
        <v>135</v>
      </c>
      <c r="I558" s="16">
        <v>41852</v>
      </c>
      <c r="J558" s="15">
        <v>5</v>
      </c>
      <c r="K558" s="17" t="s">
        <v>136</v>
      </c>
      <c r="L558" s="1" t="str">
        <f t="shared" ref="L558:L564" si="35">"WDUBS9Q7O5M3K1IZG"</f>
        <v>WDUBS9Q7O5M3K1IZG</v>
      </c>
      <c r="M558" s="2" t="str">
        <f>"9Q7O5M3K1"</f>
        <v>9Q7O5M3K1</v>
      </c>
      <c r="N558" s="1" t="s">
        <v>102</v>
      </c>
      <c r="O558" s="1">
        <v>17</v>
      </c>
    </row>
    <row r="559" spans="1:15" x14ac:dyDescent="0.35">
      <c r="A559" s="18">
        <v>18529</v>
      </c>
      <c r="B559" s="18" t="s">
        <v>592</v>
      </c>
      <c r="C559" s="14" t="s">
        <v>137</v>
      </c>
      <c r="D559" s="15">
        <v>4</v>
      </c>
      <c r="E559" s="15"/>
      <c r="F559" s="15" t="s">
        <v>61</v>
      </c>
      <c r="G559" s="15">
        <v>7418</v>
      </c>
      <c r="H559" s="15" t="s">
        <v>135</v>
      </c>
      <c r="I559" s="16">
        <v>96307</v>
      </c>
      <c r="J559" s="15">
        <v>1</v>
      </c>
      <c r="K559" s="17" t="s">
        <v>138</v>
      </c>
      <c r="L559" s="1" t="str">
        <f t="shared" si="35"/>
        <v>BS9Q7O5M3K1IZGXEVCTA</v>
      </c>
      <c r="M559" s="2" t="str">
        <f>"O5M3K1IZGXEVCTAR8"</f>
        <v>O5M3K1IZGXEVCTAR8</v>
      </c>
      <c r="N559" s="1" t="s">
        <v>64</v>
      </c>
      <c r="O559" s="1">
        <v>5296</v>
      </c>
    </row>
    <row r="560" spans="1:15" x14ac:dyDescent="0.35">
      <c r="A560" s="18">
        <v>63074</v>
      </c>
      <c r="B560" s="18" t="s">
        <v>592</v>
      </c>
      <c r="C560" s="14" t="s">
        <v>139</v>
      </c>
      <c r="D560" s="15">
        <v>9</v>
      </c>
      <c r="E560" s="15"/>
      <c r="F560" s="15" t="s">
        <v>61</v>
      </c>
      <c r="G560" s="15">
        <v>2963</v>
      </c>
      <c r="H560" s="15" t="s">
        <v>135</v>
      </c>
      <c r="I560" s="16">
        <v>41852</v>
      </c>
      <c r="J560" s="15">
        <v>5</v>
      </c>
      <c r="K560" s="17" t="s">
        <v>140</v>
      </c>
      <c r="L560" s="1" t="str">
        <f t="shared" si="35"/>
        <v>Q7O5M3K1IZGXEVCTAR8P</v>
      </c>
      <c r="M560" s="2" t="str">
        <f>"3K1IZGXEVCTAR8P6N"</f>
        <v>3K1IZGXEVCTAR8P6N</v>
      </c>
      <c r="N560" s="1" t="s">
        <v>64</v>
      </c>
      <c r="O560" s="18">
        <v>1741</v>
      </c>
    </row>
    <row r="561" spans="1:15" x14ac:dyDescent="0.35">
      <c r="A561" s="18">
        <v>18529</v>
      </c>
      <c r="B561" s="18" t="s">
        <v>592</v>
      </c>
      <c r="C561" s="14" t="s">
        <v>141</v>
      </c>
      <c r="D561" s="15">
        <v>4</v>
      </c>
      <c r="E561" s="15"/>
      <c r="F561" s="15" t="s">
        <v>61</v>
      </c>
      <c r="G561" s="15">
        <v>7418</v>
      </c>
      <c r="H561" s="15" t="s">
        <v>142</v>
      </c>
      <c r="I561" s="16">
        <v>96307</v>
      </c>
      <c r="J561" s="15">
        <v>1</v>
      </c>
      <c r="K561" s="17" t="s">
        <v>143</v>
      </c>
      <c r="L561" s="1" t="str">
        <f t="shared" si="35"/>
        <v>5M3K1IZGXEVCTAR8P</v>
      </c>
      <c r="M561" s="2" t="str">
        <f>"IZGXEVCTA"</f>
        <v>IZGXEVCTA</v>
      </c>
      <c r="N561" s="1" t="s">
        <v>102</v>
      </c>
      <c r="O561" s="1">
        <v>52</v>
      </c>
    </row>
    <row r="562" spans="1:15" x14ac:dyDescent="0.35">
      <c r="A562" s="18">
        <v>63074</v>
      </c>
      <c r="B562" s="18" t="s">
        <v>592</v>
      </c>
      <c r="C562" s="14" t="s">
        <v>144</v>
      </c>
      <c r="D562" s="15">
        <v>9</v>
      </c>
      <c r="E562" s="15"/>
      <c r="F562" s="15" t="s">
        <v>61</v>
      </c>
      <c r="G562" s="15">
        <v>2963</v>
      </c>
      <c r="H562" s="15" t="s">
        <v>142</v>
      </c>
      <c r="I562" s="16">
        <v>41852</v>
      </c>
      <c r="J562" s="15">
        <v>5</v>
      </c>
      <c r="K562" s="17" t="s">
        <v>145</v>
      </c>
      <c r="L562" s="1" t="str">
        <f t="shared" si="35"/>
        <v>K1IZGXEVCTAR8P6N4L2J</v>
      </c>
      <c r="M562" s="2" t="str">
        <f>"XEVCTAR8P6N4L2J0H"</f>
        <v>XEVCTAR8P6N4L2J0H</v>
      </c>
      <c r="N562" s="1" t="s">
        <v>64</v>
      </c>
      <c r="O562" s="18">
        <v>1741</v>
      </c>
    </row>
    <row r="563" spans="1:15" x14ac:dyDescent="0.35">
      <c r="A563" s="18">
        <v>18529</v>
      </c>
      <c r="B563" s="18" t="s">
        <v>592</v>
      </c>
      <c r="C563" s="14" t="s">
        <v>146</v>
      </c>
      <c r="D563" s="15">
        <v>4</v>
      </c>
      <c r="E563" s="15"/>
      <c r="F563" s="15" t="s">
        <v>61</v>
      </c>
      <c r="G563" s="15">
        <v>7418</v>
      </c>
      <c r="H563" s="15" t="s">
        <v>142</v>
      </c>
      <c r="I563" s="16">
        <v>96307</v>
      </c>
      <c r="J563" s="15">
        <v>1</v>
      </c>
      <c r="K563" s="17" t="s">
        <v>147</v>
      </c>
      <c r="L563" s="1" t="str">
        <f t="shared" si="35"/>
        <v>ZGXEVCTAR8P6N4L2J0HY</v>
      </c>
      <c r="M563" s="2" t="str">
        <f>"CTAR8P6N4L2J0HYFW"</f>
        <v>CTAR8P6N4L2J0HYFW</v>
      </c>
      <c r="N563" s="1" t="s">
        <v>64</v>
      </c>
      <c r="O563" s="18">
        <v>5296</v>
      </c>
    </row>
    <row r="564" spans="1:15" x14ac:dyDescent="0.35">
      <c r="A564" s="18">
        <v>63074</v>
      </c>
      <c r="B564" s="18" t="s">
        <v>592</v>
      </c>
      <c r="C564" s="14" t="s">
        <v>148</v>
      </c>
      <c r="D564" s="15">
        <v>9</v>
      </c>
      <c r="E564" s="15"/>
      <c r="F564" s="15" t="s">
        <v>61</v>
      </c>
      <c r="G564" s="15">
        <v>2963</v>
      </c>
      <c r="H564" s="15" t="s">
        <v>142</v>
      </c>
      <c r="I564" s="16">
        <v>41852</v>
      </c>
      <c r="J564" s="15">
        <v>5</v>
      </c>
      <c r="K564" s="17" t="s">
        <v>149</v>
      </c>
      <c r="L564" s="1" t="str">
        <f t="shared" si="35"/>
        <v>EVCTAR8P6N4L2J0HYFWD</v>
      </c>
      <c r="M564" s="2" t="str">
        <f>"R8P6N4L2J0HYFWD"</f>
        <v>R8P6N4L2J0HYFWD</v>
      </c>
      <c r="N564" s="1" t="s">
        <v>64</v>
      </c>
      <c r="O564" s="18">
        <v>1741</v>
      </c>
    </row>
    <row r="565" spans="1:15" x14ac:dyDescent="0.35">
      <c r="A565" s="18">
        <v>18529</v>
      </c>
      <c r="B565" s="18" t="s">
        <v>592</v>
      </c>
      <c r="C565" s="14" t="s">
        <v>150</v>
      </c>
      <c r="D565" s="15">
        <v>4</v>
      </c>
      <c r="E565" s="15"/>
      <c r="F565" s="15" t="s">
        <v>61</v>
      </c>
      <c r="G565" s="15">
        <v>7418</v>
      </c>
      <c r="H565" s="15" t="s">
        <v>68</v>
      </c>
      <c r="I565" s="16">
        <v>96307</v>
      </c>
      <c r="J565" s="15">
        <v>1</v>
      </c>
      <c r="K565" s="17" t="s">
        <v>151</v>
      </c>
      <c r="M565" s="2" t="str">
        <f>"TAR8"</f>
        <v/>
      </c>
    </row>
    <row r="566" spans="1:15" x14ac:dyDescent="0.35">
      <c r="A566" s="18">
        <v>30741</v>
      </c>
      <c r="B566" s="18" t="s">
        <v>592</v>
      </c>
      <c r="C566" s="14" t="s">
        <v>152</v>
      </c>
      <c r="D566" s="15">
        <v>6</v>
      </c>
      <c r="E566" s="15"/>
      <c r="F566" s="15" t="s">
        <v>61</v>
      </c>
      <c r="G566" s="15">
        <v>9630</v>
      </c>
      <c r="H566" s="15" t="s">
        <v>68</v>
      </c>
      <c r="I566" s="16">
        <v>18529</v>
      </c>
      <c r="J566" s="15">
        <v>2</v>
      </c>
      <c r="K566" s="17" t="s">
        <v>153</v>
      </c>
      <c r="M566" s="2" t="str">
        <f>"5M3K"</f>
        <v/>
      </c>
    </row>
    <row r="567" spans="1:15" x14ac:dyDescent="0.35">
      <c r="A567" s="18">
        <v>52963</v>
      </c>
      <c r="B567" s="18" t="s">
        <v>592</v>
      </c>
      <c r="C567" s="14" t="s">
        <v>154</v>
      </c>
      <c r="D567" s="15">
        <v>8</v>
      </c>
      <c r="E567" s="15"/>
      <c r="F567" s="15" t="s">
        <v>61</v>
      </c>
      <c r="G567" s="15">
        <v>1852</v>
      </c>
      <c r="H567" s="15" t="s">
        <v>155</v>
      </c>
      <c r="I567" s="16">
        <v>30741</v>
      </c>
      <c r="J567" s="15">
        <v>4</v>
      </c>
      <c r="K567" s="17" t="s">
        <v>156</v>
      </c>
      <c r="L567" s="1" t="str">
        <f>"HYFWDUBS9Q7O5M3K1IZG"</f>
        <v>HYFWDUBS9Q7O5M3K1IZG</v>
      </c>
      <c r="M567" s="2" t="str">
        <f>"UBS9Q7O5M3K1IZ"</f>
        <v>UBS9Q7O5M3K1IZ</v>
      </c>
      <c r="N567" s="1" t="s">
        <v>64</v>
      </c>
      <c r="O567" s="1">
        <v>9630</v>
      </c>
    </row>
    <row r="568" spans="1:15" x14ac:dyDescent="0.35">
      <c r="A568" s="18">
        <v>17418</v>
      </c>
      <c r="B568" s="18" t="s">
        <v>592</v>
      </c>
      <c r="C568" s="14" t="s">
        <v>157</v>
      </c>
      <c r="D568" s="15">
        <v>3</v>
      </c>
      <c r="E568" s="15"/>
      <c r="F568" s="15" t="s">
        <v>61</v>
      </c>
      <c r="G568" s="15">
        <v>6307</v>
      </c>
      <c r="H568" s="15" t="s">
        <v>155</v>
      </c>
      <c r="I568" s="16">
        <v>85296</v>
      </c>
      <c r="J568" s="15">
        <v>9</v>
      </c>
      <c r="K568" s="17" t="s">
        <v>158</v>
      </c>
      <c r="L568" s="1" t="str">
        <f>"WDUBS9Q7O5M3K1IZGXEV"</f>
        <v>WDUBS9Q7O5M3K1IZGXEV</v>
      </c>
      <c r="M568" s="2" t="str">
        <f>"9Q7O5M3K1IZGXEV"</f>
        <v>9Q7O5M3K1IZGXEV</v>
      </c>
      <c r="N568" s="1" t="s">
        <v>64</v>
      </c>
      <c r="O568" s="1">
        <v>4185</v>
      </c>
    </row>
    <row r="569" spans="1:15" x14ac:dyDescent="0.35">
      <c r="A569" s="18">
        <v>52963</v>
      </c>
      <c r="B569" s="18" t="s">
        <v>592</v>
      </c>
      <c r="C569" s="14" t="s">
        <v>159</v>
      </c>
      <c r="D569" s="15">
        <v>8</v>
      </c>
      <c r="E569" s="15"/>
      <c r="F569" s="15" t="s">
        <v>61</v>
      </c>
      <c r="G569" s="15">
        <v>1852</v>
      </c>
      <c r="H569" s="15" t="s">
        <v>155</v>
      </c>
      <c r="I569" s="16">
        <v>30741</v>
      </c>
      <c r="J569" s="15">
        <v>4</v>
      </c>
      <c r="K569" s="17" t="s">
        <v>160</v>
      </c>
      <c r="L569" s="1" t="str">
        <f>"BS9Q7O5M3K1IZGXEVCTA"</f>
        <v>BS9Q7O5M3K1IZGXEVCTA</v>
      </c>
      <c r="M569" s="2" t="str">
        <f>"O5M3K1IZGXEVCTAR"</f>
        <v>O5M3K1IZGXEVCTAR</v>
      </c>
      <c r="N569" s="1" t="s">
        <v>64</v>
      </c>
      <c r="O569" s="1">
        <v>9630</v>
      </c>
    </row>
    <row r="570" spans="1:15" x14ac:dyDescent="0.35">
      <c r="A570" s="18">
        <v>17418</v>
      </c>
      <c r="B570" s="18" t="s">
        <v>592</v>
      </c>
      <c r="C570" s="14" t="s">
        <v>161</v>
      </c>
      <c r="D570" s="15">
        <v>3</v>
      </c>
      <c r="E570" s="15"/>
      <c r="F570" s="15" t="s">
        <v>61</v>
      </c>
      <c r="G570" s="15">
        <v>6307</v>
      </c>
      <c r="H570" s="15" t="s">
        <v>155</v>
      </c>
      <c r="I570" s="16">
        <v>85296</v>
      </c>
      <c r="J570" s="15">
        <v>9</v>
      </c>
      <c r="K570" s="17" t="s">
        <v>162</v>
      </c>
      <c r="L570" s="1" t="str">
        <f>"Q7O5M3K1IZGXEVCTAR8P"</f>
        <v>Q7O5M3K1IZGXEVCTAR8P</v>
      </c>
      <c r="M570" s="2" t="str">
        <f>"3K1IZGXEVCTAR8P"</f>
        <v>3K1IZGXEVCTAR8P</v>
      </c>
      <c r="N570" s="1" t="s">
        <v>64</v>
      </c>
      <c r="O570" s="1">
        <v>4185</v>
      </c>
    </row>
    <row r="571" spans="1:15" x14ac:dyDescent="0.35">
      <c r="A571" s="18">
        <v>52963</v>
      </c>
      <c r="B571" s="18" t="s">
        <v>592</v>
      </c>
      <c r="C571" s="14" t="s">
        <v>163</v>
      </c>
      <c r="D571" s="15">
        <v>8</v>
      </c>
      <c r="E571" s="15"/>
      <c r="F571" s="15" t="s">
        <v>61</v>
      </c>
      <c r="G571" s="15">
        <v>1852</v>
      </c>
      <c r="H571" s="15" t="s">
        <v>68</v>
      </c>
      <c r="I571" s="16">
        <v>30741</v>
      </c>
      <c r="J571" s="15">
        <v>4</v>
      </c>
      <c r="K571" s="17" t="s">
        <v>164</v>
      </c>
    </row>
    <row r="572" spans="1:15" x14ac:dyDescent="0.35">
      <c r="A572" s="18">
        <v>63074</v>
      </c>
      <c r="B572" s="18" t="s">
        <v>592</v>
      </c>
      <c r="C572" s="14" t="s">
        <v>165</v>
      </c>
      <c r="D572" s="15">
        <v>9</v>
      </c>
      <c r="E572" s="15"/>
      <c r="F572" s="15" t="s">
        <v>61</v>
      </c>
      <c r="G572" s="15">
        <v>2963</v>
      </c>
      <c r="H572" s="15" t="s">
        <v>68</v>
      </c>
      <c r="I572" s="16">
        <v>41852</v>
      </c>
      <c r="J572" s="15">
        <v>5</v>
      </c>
      <c r="K572" s="17" t="s">
        <v>166</v>
      </c>
      <c r="M572" s="2" t="str">
        <f>"4L2J"</f>
        <v/>
      </c>
    </row>
    <row r="573" spans="1:15" x14ac:dyDescent="0.35">
      <c r="A573" s="18">
        <v>85296</v>
      </c>
      <c r="B573" s="18" t="s">
        <v>592</v>
      </c>
      <c r="C573" s="14" t="s">
        <v>167</v>
      </c>
      <c r="D573" s="15">
        <v>1</v>
      </c>
      <c r="E573" s="15"/>
      <c r="F573" s="15" t="s">
        <v>61</v>
      </c>
      <c r="G573" s="15">
        <v>4185</v>
      </c>
      <c r="H573" s="15" t="s">
        <v>135</v>
      </c>
      <c r="I573" s="16">
        <v>63074</v>
      </c>
      <c r="J573" s="15">
        <v>7</v>
      </c>
      <c r="K573" s="17" t="s">
        <v>168</v>
      </c>
      <c r="L573" s="1" t="str">
        <f>"GXEVCTAR8P6N4L2J0HYF"</f>
        <v>GXEVCTAR8P6N4L2J0HYF</v>
      </c>
      <c r="M573" s="2" t="str">
        <f>"TAR8P6N4L2J0HYFWD"</f>
        <v>TAR8P6N4L2J0HYFWD</v>
      </c>
      <c r="N573" s="1" t="s">
        <v>64</v>
      </c>
      <c r="O573" s="1">
        <v>2963</v>
      </c>
    </row>
    <row r="574" spans="1:15" x14ac:dyDescent="0.35">
      <c r="A574" s="18">
        <v>30741</v>
      </c>
      <c r="B574" s="18" t="s">
        <v>592</v>
      </c>
      <c r="C574" s="14" t="s">
        <v>169</v>
      </c>
      <c r="D574" s="15">
        <v>6</v>
      </c>
      <c r="E574" s="15"/>
      <c r="F574" s="15" t="s">
        <v>61</v>
      </c>
      <c r="G574" s="15">
        <v>9630</v>
      </c>
      <c r="H574" s="15" t="s">
        <v>170</v>
      </c>
      <c r="I574" s="16">
        <v>18529</v>
      </c>
      <c r="J574" s="15">
        <v>2</v>
      </c>
      <c r="K574" s="17" t="s">
        <v>171</v>
      </c>
      <c r="L574" s="1" t="str">
        <f>"VCTAR8P6N4L2J0HYFWDU"</f>
        <v>VCTAR8P6N4L2J0HYFWDU</v>
      </c>
      <c r="M574" s="2" t="str">
        <f>"8P6N4L2J0HYFWDUBS9"</f>
        <v>8P6N4L2J0HYFWDUBS9</v>
      </c>
      <c r="N574" s="1" t="s">
        <v>64</v>
      </c>
      <c r="O574" s="1">
        <v>7418</v>
      </c>
    </row>
    <row r="575" spans="1:15" x14ac:dyDescent="0.35">
      <c r="A575" s="18">
        <v>85296</v>
      </c>
      <c r="B575" s="18" t="s">
        <v>592</v>
      </c>
      <c r="C575" s="14" t="s">
        <v>172</v>
      </c>
      <c r="D575" s="15">
        <v>1</v>
      </c>
      <c r="E575" s="15"/>
      <c r="F575" s="15" t="s">
        <v>61</v>
      </c>
      <c r="G575" s="15">
        <v>4185</v>
      </c>
      <c r="H575" s="15" t="s">
        <v>170</v>
      </c>
      <c r="I575" s="16">
        <v>63074</v>
      </c>
      <c r="J575" s="15">
        <v>7</v>
      </c>
      <c r="K575" s="17" t="s">
        <v>173</v>
      </c>
      <c r="L575" s="1" t="str">
        <f t="shared" ref="L575:L578" si="36">"AR8P6N4L2J0HYFWDUBS9"</f>
        <v>AR8P6N4L2J0HYFWDUBS9</v>
      </c>
      <c r="M575" s="2" t="str">
        <f>"N4L2J0HYFWDUBS9Q"</f>
        <v>N4L2J0HYFWDUBS9Q</v>
      </c>
      <c r="N575" s="1" t="s">
        <v>64</v>
      </c>
      <c r="O575" s="1">
        <v>2963</v>
      </c>
    </row>
    <row r="576" spans="1:15" x14ac:dyDescent="0.35">
      <c r="A576" s="18">
        <v>30741</v>
      </c>
      <c r="B576" s="18" t="s">
        <v>592</v>
      </c>
      <c r="C576" s="14" t="s">
        <v>174</v>
      </c>
      <c r="D576" s="15">
        <v>6</v>
      </c>
      <c r="E576" s="15"/>
      <c r="F576" s="15" t="s">
        <v>61</v>
      </c>
      <c r="G576" s="15">
        <v>9630</v>
      </c>
      <c r="H576" s="15" t="s">
        <v>170</v>
      </c>
      <c r="I576" s="16">
        <v>18529</v>
      </c>
      <c r="J576" s="15">
        <v>2</v>
      </c>
      <c r="K576" s="17" t="s">
        <v>175</v>
      </c>
      <c r="L576" s="1" t="str">
        <f t="shared" si="36"/>
        <v>P6N4L2J0HYFWDUBS9Q7O</v>
      </c>
      <c r="M576" s="2" t="str">
        <f>"2J0HYFWDUBS9Q7O5M"</f>
        <v>2J0HYFWDUBS9Q7O5M</v>
      </c>
      <c r="N576" s="1" t="s">
        <v>64</v>
      </c>
      <c r="O576" s="1">
        <v>7418</v>
      </c>
    </row>
    <row r="577" spans="1:15" x14ac:dyDescent="0.35">
      <c r="A577" s="18">
        <v>85296</v>
      </c>
      <c r="B577" s="18" t="s">
        <v>592</v>
      </c>
      <c r="C577" s="14" t="s">
        <v>176</v>
      </c>
      <c r="D577" s="15">
        <v>1</v>
      </c>
      <c r="E577" s="15"/>
      <c r="F577" s="15" t="s">
        <v>61</v>
      </c>
      <c r="G577" s="15">
        <v>4185</v>
      </c>
      <c r="H577" s="15" t="s">
        <v>142</v>
      </c>
      <c r="I577" s="16">
        <v>63074</v>
      </c>
      <c r="J577" s="15">
        <v>7</v>
      </c>
      <c r="K577" s="17" t="s">
        <v>177</v>
      </c>
      <c r="L577" s="1" t="str">
        <f t="shared" si="36"/>
        <v>4L2J0HYFWDUBS9Q7O5M3</v>
      </c>
      <c r="M577" s="2" t="str">
        <f>"HYFWDUBS9Q7O5M3K1"</f>
        <v>HYFWDUBS9Q7O5M3K1</v>
      </c>
      <c r="N577" s="1" t="s">
        <v>64</v>
      </c>
      <c r="O577" s="18">
        <v>2963</v>
      </c>
    </row>
    <row r="578" spans="1:15" x14ac:dyDescent="0.35">
      <c r="A578" s="18">
        <v>30741</v>
      </c>
      <c r="B578" s="18" t="s">
        <v>592</v>
      </c>
      <c r="C578" s="14" t="s">
        <v>178</v>
      </c>
      <c r="D578" s="15">
        <v>6</v>
      </c>
      <c r="E578" s="15"/>
      <c r="F578" s="15" t="s">
        <v>61</v>
      </c>
      <c r="G578" s="15">
        <v>9630</v>
      </c>
      <c r="H578" s="15" t="s">
        <v>170</v>
      </c>
      <c r="I578" s="16">
        <v>18529</v>
      </c>
      <c r="J578" s="15">
        <v>2</v>
      </c>
      <c r="K578" s="17" t="s">
        <v>179</v>
      </c>
      <c r="L578" s="1" t="str">
        <f t="shared" si="36"/>
        <v>J0HYFWDUBS9Q7O5M3K1I</v>
      </c>
      <c r="M578" s="2" t="str">
        <f>"WDUBS9Q7O5M3K1IZG"</f>
        <v>WDUBS9Q7O5M3K1IZG</v>
      </c>
      <c r="N578" s="1" t="s">
        <v>64</v>
      </c>
      <c r="O578" s="1">
        <v>7418</v>
      </c>
    </row>
    <row r="579" spans="1:15" x14ac:dyDescent="0.35">
      <c r="A579" s="18">
        <v>85296</v>
      </c>
      <c r="B579" s="18" t="s">
        <v>592</v>
      </c>
      <c r="C579" s="14" t="s">
        <v>180</v>
      </c>
      <c r="D579" s="15">
        <v>1</v>
      </c>
      <c r="E579" s="15"/>
      <c r="F579" s="15" t="s">
        <v>61</v>
      </c>
      <c r="G579" s="15">
        <v>4185</v>
      </c>
      <c r="H579" s="15" t="s">
        <v>68</v>
      </c>
      <c r="I579" s="16">
        <v>63074</v>
      </c>
      <c r="J579" s="15">
        <v>7</v>
      </c>
      <c r="K579" s="17" t="s">
        <v>181</v>
      </c>
      <c r="M579" s="2" t="str">
        <f>"YFWD"</f>
        <v/>
      </c>
    </row>
    <row r="580" spans="1:15" x14ac:dyDescent="0.35">
      <c r="A580" s="18">
        <v>17418</v>
      </c>
      <c r="B580" s="18" t="s">
        <v>592</v>
      </c>
      <c r="C580" s="14" t="s">
        <v>182</v>
      </c>
      <c r="D580" s="15">
        <v>3</v>
      </c>
      <c r="E580" s="15"/>
      <c r="F580" s="15" t="s">
        <v>61</v>
      </c>
      <c r="G580" s="15">
        <v>6307</v>
      </c>
      <c r="H580" s="15" t="s">
        <v>68</v>
      </c>
      <c r="I580" s="16">
        <v>85296</v>
      </c>
      <c r="J580" s="15">
        <v>9</v>
      </c>
      <c r="K580" s="17" t="s">
        <v>183</v>
      </c>
      <c r="M580" s="2" t="str">
        <f>"AR8P"</f>
        <v/>
      </c>
    </row>
    <row r="581" spans="1:15" x14ac:dyDescent="0.35">
      <c r="A581" s="18">
        <v>29630</v>
      </c>
      <c r="B581" s="18" t="s">
        <v>592</v>
      </c>
      <c r="C581" s="14" t="s">
        <v>184</v>
      </c>
      <c r="D581" s="15">
        <v>5</v>
      </c>
      <c r="E581" s="15"/>
      <c r="F581" s="15" t="s">
        <v>61</v>
      </c>
      <c r="G581" s="15">
        <v>8529</v>
      </c>
      <c r="H581" s="15" t="s">
        <v>185</v>
      </c>
      <c r="I581" s="16">
        <v>17418</v>
      </c>
      <c r="J581" s="15">
        <v>1</v>
      </c>
      <c r="K581" s="17" t="s">
        <v>186</v>
      </c>
      <c r="L581" s="1" t="str">
        <f>"M3K1IZGXEVCTAR8P6N4L"</f>
        <v>M3K1IZGXEVCTAR8P6N4L</v>
      </c>
      <c r="M581" s="2" t="str">
        <f>"ZGXEVCTAR8P6N4L"</f>
        <v>ZGXEVCTAR8P6N4L</v>
      </c>
      <c r="N581" s="1" t="s">
        <v>64</v>
      </c>
      <c r="O581" s="1">
        <v>6307</v>
      </c>
    </row>
    <row r="582" spans="1:15" x14ac:dyDescent="0.35">
      <c r="A582" s="18">
        <v>74185</v>
      </c>
      <c r="B582" s="18" t="s">
        <v>592</v>
      </c>
      <c r="C582" s="14" t="s">
        <v>187</v>
      </c>
      <c r="D582" s="15">
        <v>1</v>
      </c>
      <c r="E582" s="15"/>
      <c r="F582" s="15" t="s">
        <v>61</v>
      </c>
      <c r="G582" s="15">
        <v>3074</v>
      </c>
      <c r="H582" s="15" t="s">
        <v>185</v>
      </c>
      <c r="I582" s="16">
        <v>52963</v>
      </c>
      <c r="J582" s="15">
        <v>6</v>
      </c>
      <c r="K582" s="17" t="s">
        <v>188</v>
      </c>
      <c r="L582" s="1" t="str">
        <f t="shared" ref="L582:L584" si="37">"1IZGXEVCTAR8P6N4L2J0"</f>
        <v>1IZGXEVCTAR8P6N4L2J0</v>
      </c>
      <c r="M582" s="2" t="str">
        <f>"EVCTAR8P6N4L2J0HY"</f>
        <v>EVCTAR8P6N4L2J0HY</v>
      </c>
      <c r="N582" s="1" t="s">
        <v>64</v>
      </c>
      <c r="O582" s="1">
        <v>1852</v>
      </c>
    </row>
    <row r="583" spans="1:15" x14ac:dyDescent="0.35">
      <c r="A583" s="18">
        <v>29630</v>
      </c>
      <c r="B583" s="18" t="s">
        <v>592</v>
      </c>
      <c r="C583" s="14" t="s">
        <v>189</v>
      </c>
      <c r="D583" s="15">
        <v>5</v>
      </c>
      <c r="E583" s="15"/>
      <c r="F583" s="15" t="s">
        <v>61</v>
      </c>
      <c r="G583" s="15">
        <v>8529</v>
      </c>
      <c r="H583" s="15" t="s">
        <v>185</v>
      </c>
      <c r="I583" s="16">
        <v>17418</v>
      </c>
      <c r="J583" s="15">
        <v>1</v>
      </c>
      <c r="K583" s="17" t="s">
        <v>190</v>
      </c>
      <c r="L583" s="1" t="str">
        <f t="shared" si="37"/>
        <v>GXEVCTAR8P6N4L2J0HYF</v>
      </c>
      <c r="M583" s="2" t="str">
        <f>"TAR8P6N4L2J0HYFWD"</f>
        <v>TAR8P6N4L2J0HYFWD</v>
      </c>
      <c r="N583" s="1" t="s">
        <v>64</v>
      </c>
      <c r="O583" s="1">
        <v>6307</v>
      </c>
    </row>
    <row r="584" spans="1:15" x14ac:dyDescent="0.35">
      <c r="A584" s="18">
        <v>74185</v>
      </c>
      <c r="B584" s="18" t="s">
        <v>592</v>
      </c>
      <c r="C584" s="14" t="s">
        <v>191</v>
      </c>
      <c r="D584" s="15">
        <v>1</v>
      </c>
      <c r="E584" s="15"/>
      <c r="F584" s="15" t="s">
        <v>61</v>
      </c>
      <c r="G584" s="15">
        <v>3074</v>
      </c>
      <c r="H584" s="15" t="s">
        <v>185</v>
      </c>
      <c r="I584" s="16">
        <v>52963</v>
      </c>
      <c r="J584" s="15">
        <v>6</v>
      </c>
      <c r="K584" s="17" t="s">
        <v>192</v>
      </c>
      <c r="L584" s="1" t="str">
        <f t="shared" si="37"/>
        <v>VCTAR8P6N4L2J0HYFWDU</v>
      </c>
      <c r="M584" s="2" t="str">
        <f>"8P6N4L2J0HYFWDU"</f>
        <v>8P6N4L2J0HYFWDU</v>
      </c>
      <c r="N584" s="1" t="s">
        <v>64</v>
      </c>
      <c r="O584" s="1">
        <v>1852</v>
      </c>
    </row>
    <row r="585" spans="1:15" x14ac:dyDescent="0.35">
      <c r="A585" s="18">
        <v>29630</v>
      </c>
      <c r="B585" s="18" t="s">
        <v>592</v>
      </c>
      <c r="C585" s="14" t="s">
        <v>193</v>
      </c>
      <c r="D585" s="15">
        <v>5</v>
      </c>
      <c r="E585" s="15"/>
      <c r="F585" s="15" t="s">
        <v>61</v>
      </c>
      <c r="G585" s="15">
        <v>8529</v>
      </c>
      <c r="H585" s="15" t="s">
        <v>68</v>
      </c>
      <c r="I585" s="16">
        <v>17418</v>
      </c>
      <c r="J585" s="15">
        <v>1</v>
      </c>
      <c r="K585" s="17" t="s">
        <v>194</v>
      </c>
      <c r="M585" s="2" t="str">
        <f>"AR8P"</f>
        <v/>
      </c>
    </row>
    <row r="586" spans="1:15" x14ac:dyDescent="0.35">
      <c r="A586" s="18">
        <v>41852</v>
      </c>
      <c r="B586" s="18" t="s">
        <v>592</v>
      </c>
      <c r="C586" s="14" t="s">
        <v>195</v>
      </c>
      <c r="D586" s="15">
        <v>7</v>
      </c>
      <c r="E586" s="15"/>
      <c r="F586" s="15" t="s">
        <v>61</v>
      </c>
      <c r="G586" s="15">
        <v>1741</v>
      </c>
      <c r="H586" s="15" t="s">
        <v>185</v>
      </c>
      <c r="I586" s="16">
        <v>29630</v>
      </c>
      <c r="J586" s="15">
        <v>3</v>
      </c>
      <c r="K586" s="17" t="s">
        <v>196</v>
      </c>
      <c r="L586" s="1" t="str">
        <f t="shared" ref="L586" si="38">"M3K1IZGXEVCTAR8P6N4L"</f>
        <v>M3K1IZGXEVCTAR8P6N4L</v>
      </c>
      <c r="M586" s="2" t="str">
        <f>"ZGXEVCTAR8P6N4L2J"</f>
        <v>ZGXEVCTAR8P6N4L2J</v>
      </c>
      <c r="N586" s="1" t="s">
        <v>64</v>
      </c>
      <c r="O586" s="1">
        <v>8529</v>
      </c>
    </row>
    <row r="587" spans="1:15" x14ac:dyDescent="0.35">
      <c r="A587" s="18">
        <v>96307</v>
      </c>
      <c r="B587" s="18" t="s">
        <v>592</v>
      </c>
      <c r="C587" s="14" t="s">
        <v>197</v>
      </c>
      <c r="D587" s="15">
        <v>2</v>
      </c>
      <c r="E587" s="15"/>
      <c r="F587" s="15" t="s">
        <v>61</v>
      </c>
      <c r="G587" s="15">
        <v>5296</v>
      </c>
      <c r="H587" s="15" t="s">
        <v>68</v>
      </c>
      <c r="I587" s="16">
        <v>74185</v>
      </c>
      <c r="J587" s="15">
        <v>8</v>
      </c>
      <c r="K587" s="17" t="s">
        <v>198</v>
      </c>
      <c r="M587" s="2" t="str">
        <f>"1IZG"</f>
        <v/>
      </c>
    </row>
    <row r="588" spans="1:15" x14ac:dyDescent="0.35">
      <c r="A588" s="18">
        <v>18529</v>
      </c>
      <c r="B588" s="18" t="s">
        <v>592</v>
      </c>
      <c r="C588" s="14" t="s">
        <v>199</v>
      </c>
      <c r="D588" s="15">
        <v>4</v>
      </c>
      <c r="E588" s="15"/>
      <c r="F588" s="15" t="s">
        <v>61</v>
      </c>
      <c r="G588" s="15">
        <v>7418</v>
      </c>
      <c r="H588" s="15" t="s">
        <v>185</v>
      </c>
      <c r="I588" s="16">
        <v>96307</v>
      </c>
      <c r="J588" s="15">
        <v>1</v>
      </c>
      <c r="K588" s="17" t="s">
        <v>200</v>
      </c>
      <c r="L588" s="1" t="str">
        <f>"DUBS9Q7O5M3K1IZGXEVC"</f>
        <v>DUBS9Q7O5M3K1IZGXEVC</v>
      </c>
      <c r="M588" s="2" t="str">
        <f>"Q7O5M3K1IZGXEVCTAR"</f>
        <v>Q7O5M3K1IZGXEVCTAR</v>
      </c>
      <c r="N588" s="1" t="s">
        <v>64</v>
      </c>
      <c r="O588" s="1">
        <v>5296</v>
      </c>
    </row>
    <row r="589" spans="1:15" x14ac:dyDescent="0.35">
      <c r="A589" s="18">
        <v>63074</v>
      </c>
      <c r="B589" s="18" t="s">
        <v>592</v>
      </c>
      <c r="C589" s="14" t="s">
        <v>201</v>
      </c>
      <c r="D589" s="15">
        <v>9</v>
      </c>
      <c r="E589" s="15"/>
      <c r="F589" s="15" t="s">
        <v>61</v>
      </c>
      <c r="G589" s="15">
        <v>2963</v>
      </c>
      <c r="H589" s="15" t="s">
        <v>185</v>
      </c>
      <c r="I589" s="16">
        <v>41852</v>
      </c>
      <c r="J589" s="15">
        <v>5</v>
      </c>
      <c r="K589" s="17" t="s">
        <v>202</v>
      </c>
      <c r="L589" s="1" t="str">
        <f t="shared" ref="L589:L594" si="39">"S9Q7O5M3K1IZGXEVCTAR"</f>
        <v>S9Q7O5M3K1IZGXEVCTAR</v>
      </c>
      <c r="M589" s="2" t="str">
        <f>"5M3K1IZGXEVCTAR8P"</f>
        <v>5M3K1IZGXEVCTAR8P</v>
      </c>
      <c r="N589" s="1" t="s">
        <v>64</v>
      </c>
      <c r="O589" s="1">
        <v>1741</v>
      </c>
    </row>
    <row r="590" spans="1:15" x14ac:dyDescent="0.35">
      <c r="A590" s="18">
        <v>18529</v>
      </c>
      <c r="B590" s="18" t="s">
        <v>592</v>
      </c>
      <c r="C590" s="14" t="s">
        <v>203</v>
      </c>
      <c r="D590" s="15">
        <v>4</v>
      </c>
      <c r="E590" s="15"/>
      <c r="F590" s="15" t="s">
        <v>61</v>
      </c>
      <c r="G590" s="15">
        <v>7418</v>
      </c>
      <c r="H590" s="15" t="s">
        <v>185</v>
      </c>
      <c r="I590" s="16">
        <v>96307</v>
      </c>
      <c r="J590" s="15">
        <v>1</v>
      </c>
      <c r="K590" s="17" t="s">
        <v>204</v>
      </c>
      <c r="L590" s="1" t="str">
        <f t="shared" si="39"/>
        <v>7O5M3K1IZGXEVCTAR8P6</v>
      </c>
      <c r="M590" s="2" t="str">
        <f>"K1IZGXEVCTAR8P6N4"</f>
        <v>K1IZGXEVCTAR8P6N4</v>
      </c>
      <c r="N590" s="1" t="s">
        <v>64</v>
      </c>
      <c r="O590" s="1">
        <v>5296</v>
      </c>
    </row>
    <row r="591" spans="1:15" x14ac:dyDescent="0.35">
      <c r="A591" s="18">
        <v>63074</v>
      </c>
      <c r="B591" s="18" t="s">
        <v>592</v>
      </c>
      <c r="C591" s="14" t="s">
        <v>205</v>
      </c>
      <c r="D591" s="15">
        <v>9</v>
      </c>
      <c r="E591" s="15"/>
      <c r="F591" s="15" t="s">
        <v>61</v>
      </c>
      <c r="G591" s="15">
        <v>2963</v>
      </c>
      <c r="H591" s="15" t="s">
        <v>185</v>
      </c>
      <c r="I591" s="16">
        <v>41852</v>
      </c>
      <c r="J591" s="15">
        <v>5</v>
      </c>
      <c r="K591" s="17" t="s">
        <v>206</v>
      </c>
      <c r="L591" s="1" t="str">
        <f t="shared" si="39"/>
        <v>M3K1IZGXEVCTAR8P6N4L</v>
      </c>
      <c r="M591" s="2" t="str">
        <f>"ZGXEVCTAR8P6N4L2J"</f>
        <v>ZGXEVCTAR8P6N4L2J</v>
      </c>
      <c r="N591" s="1" t="s">
        <v>64</v>
      </c>
      <c r="O591" s="1">
        <v>1741</v>
      </c>
    </row>
    <row r="592" spans="1:15" x14ac:dyDescent="0.35">
      <c r="A592" s="18">
        <v>18529</v>
      </c>
      <c r="B592" s="18" t="s">
        <v>592</v>
      </c>
      <c r="C592" s="14" t="s">
        <v>207</v>
      </c>
      <c r="D592" s="15">
        <v>4</v>
      </c>
      <c r="E592" s="15"/>
      <c r="F592" s="15" t="s">
        <v>61</v>
      </c>
      <c r="G592" s="15">
        <v>7418</v>
      </c>
      <c r="H592" s="15" t="s">
        <v>170</v>
      </c>
      <c r="I592" s="16">
        <v>96307</v>
      </c>
      <c r="J592" s="15">
        <v>1</v>
      </c>
      <c r="K592" s="17" t="s">
        <v>208</v>
      </c>
      <c r="L592" s="1" t="str">
        <f t="shared" si="39"/>
        <v>1IZGXEVCTAR8P6N4L</v>
      </c>
      <c r="M592" s="2" t="str">
        <f>"EVCTAR8P6"</f>
        <v>EVCTAR8P6</v>
      </c>
      <c r="N592" s="1" t="s">
        <v>102</v>
      </c>
      <c r="O592" s="1">
        <v>52</v>
      </c>
    </row>
    <row r="593" spans="1:15" x14ac:dyDescent="0.35">
      <c r="A593" s="18">
        <v>63074</v>
      </c>
      <c r="B593" s="18" t="s">
        <v>592</v>
      </c>
      <c r="C593" s="14" t="s">
        <v>209</v>
      </c>
      <c r="D593" s="15">
        <v>9</v>
      </c>
      <c r="E593" s="15"/>
      <c r="F593" s="15" t="s">
        <v>61</v>
      </c>
      <c r="G593" s="15">
        <v>2963</v>
      </c>
      <c r="H593" s="15" t="s">
        <v>170</v>
      </c>
      <c r="I593" s="16">
        <v>41852</v>
      </c>
      <c r="J593" s="15">
        <v>5</v>
      </c>
      <c r="K593" s="17" t="s">
        <v>210</v>
      </c>
      <c r="L593" s="1" t="str">
        <f t="shared" si="39"/>
        <v>GXEVCTAR8P6N4L2J0HYF</v>
      </c>
      <c r="M593" s="2" t="str">
        <f>"TAR8P6N4L2J0HYFWD"</f>
        <v>TAR8P6N4L2J0HYFWD</v>
      </c>
      <c r="N593" s="1" t="s">
        <v>64</v>
      </c>
      <c r="O593" s="1">
        <v>1741</v>
      </c>
    </row>
    <row r="594" spans="1:15" x14ac:dyDescent="0.35">
      <c r="A594" s="18">
        <v>18529</v>
      </c>
      <c r="B594" s="18" t="s">
        <v>592</v>
      </c>
      <c r="C594" s="14" t="s">
        <v>211</v>
      </c>
      <c r="D594" s="15">
        <v>4</v>
      </c>
      <c r="E594" s="15"/>
      <c r="F594" s="15" t="s">
        <v>61</v>
      </c>
      <c r="G594" s="15">
        <v>7418</v>
      </c>
      <c r="H594" s="15" t="s">
        <v>170</v>
      </c>
      <c r="I594" s="16">
        <v>96307</v>
      </c>
      <c r="J594" s="15">
        <v>1</v>
      </c>
      <c r="K594" s="17" t="s">
        <v>212</v>
      </c>
      <c r="L594" s="1" t="str">
        <f t="shared" si="39"/>
        <v>VCTAR8P6N4L2J0HYFWDU</v>
      </c>
      <c r="M594" s="2" t="str">
        <f>"8P6N4L2J0HYFWDUBS"</f>
        <v>8P6N4L2J0HYFWDUBS</v>
      </c>
      <c r="N594" s="1" t="s">
        <v>64</v>
      </c>
      <c r="O594" s="1">
        <v>5296</v>
      </c>
    </row>
    <row r="595" spans="1:15" x14ac:dyDescent="0.35">
      <c r="A595" s="18">
        <v>63074</v>
      </c>
      <c r="B595" s="18" t="s">
        <v>592</v>
      </c>
      <c r="C595" s="14" t="s">
        <v>213</v>
      </c>
      <c r="D595" s="15">
        <v>9</v>
      </c>
      <c r="E595" s="15"/>
      <c r="F595" s="15" t="s">
        <v>61</v>
      </c>
      <c r="G595" s="15">
        <v>2963</v>
      </c>
      <c r="H595" s="15" t="s">
        <v>68</v>
      </c>
      <c r="I595" s="16">
        <v>41852</v>
      </c>
      <c r="J595" s="15">
        <v>5</v>
      </c>
      <c r="K595" s="17" t="s">
        <v>214</v>
      </c>
      <c r="M595" s="2" t="str">
        <f>"AR8P"</f>
        <v/>
      </c>
    </row>
    <row r="596" spans="1:15" x14ac:dyDescent="0.35">
      <c r="A596" s="18">
        <v>85296</v>
      </c>
      <c r="B596" s="18" t="s">
        <v>592</v>
      </c>
      <c r="C596" s="14" t="s">
        <v>215</v>
      </c>
      <c r="D596" s="15">
        <v>1</v>
      </c>
      <c r="E596" s="15"/>
      <c r="F596" s="15" t="s">
        <v>61</v>
      </c>
      <c r="G596" s="15">
        <v>4185</v>
      </c>
      <c r="H596" s="15" t="s">
        <v>170</v>
      </c>
      <c r="I596" s="16">
        <v>63074</v>
      </c>
      <c r="J596" s="15">
        <v>7</v>
      </c>
      <c r="K596" s="17" t="s">
        <v>216</v>
      </c>
      <c r="L596" s="1" t="str">
        <f>"M3K1IZGXEVCTAR8P6N4L"</f>
        <v>M3K1IZGXEVCTAR8P6N4L</v>
      </c>
      <c r="M596" s="2" t="str">
        <f>"ZGXEVCTAR8P6N4L2J"</f>
        <v>ZGXEVCTAR8P6N4L2J</v>
      </c>
      <c r="N596" s="1" t="s">
        <v>64</v>
      </c>
      <c r="O596" s="1">
        <v>2963</v>
      </c>
    </row>
    <row r="597" spans="1:15" x14ac:dyDescent="0.35">
      <c r="A597" s="18">
        <v>30741</v>
      </c>
      <c r="B597" s="18" t="s">
        <v>592</v>
      </c>
      <c r="C597" s="14" t="s">
        <v>217</v>
      </c>
      <c r="D597" s="15">
        <v>6</v>
      </c>
      <c r="E597" s="15"/>
      <c r="F597" s="15" t="s">
        <v>61</v>
      </c>
      <c r="G597" s="15">
        <v>9630</v>
      </c>
      <c r="H597" s="15" t="s">
        <v>170</v>
      </c>
      <c r="I597" s="16">
        <v>18529</v>
      </c>
      <c r="J597" s="15">
        <v>2</v>
      </c>
      <c r="K597" s="17" t="s">
        <v>218</v>
      </c>
      <c r="L597" s="1" t="str">
        <f>"1IZGXEVCTAR8P6N4L2J0"</f>
        <v>1IZGXEVCTAR8P6N4L2J0</v>
      </c>
      <c r="M597" s="2" t="str">
        <f>"EVCTAR8P6N4L2J0HY"</f>
        <v>EVCTAR8P6N4L2J0HY</v>
      </c>
      <c r="N597" s="1" t="s">
        <v>64</v>
      </c>
      <c r="O597" s="1">
        <v>7418</v>
      </c>
    </row>
    <row r="598" spans="1:15" x14ac:dyDescent="0.35">
      <c r="A598" s="18">
        <v>85296</v>
      </c>
      <c r="B598" s="18" t="s">
        <v>592</v>
      </c>
      <c r="C598" s="14" t="s">
        <v>219</v>
      </c>
      <c r="D598" s="15">
        <v>1</v>
      </c>
      <c r="E598" s="15"/>
      <c r="F598" s="15" t="s">
        <v>61</v>
      </c>
      <c r="G598" s="15">
        <v>4185</v>
      </c>
      <c r="H598" s="15" t="s">
        <v>170</v>
      </c>
      <c r="I598" s="16">
        <v>63074</v>
      </c>
      <c r="J598" s="15">
        <v>7</v>
      </c>
      <c r="K598" s="17" t="s">
        <v>220</v>
      </c>
      <c r="L598" s="1" t="str">
        <f>"GXEVCTAR8P6N4L2J0HYF"</f>
        <v>GXEVCTAR8P6N4L2J0HYF</v>
      </c>
      <c r="M598" s="2" t="str">
        <f>"TAR8P6N4L2J0HYFW"</f>
        <v>TAR8P6N4L2J0HYFW</v>
      </c>
      <c r="N598" s="1" t="s">
        <v>64</v>
      </c>
      <c r="O598" s="1">
        <v>2963</v>
      </c>
    </row>
    <row r="599" spans="1:15" x14ac:dyDescent="0.35">
      <c r="A599" s="18">
        <v>30741</v>
      </c>
      <c r="B599" s="18" t="s">
        <v>592</v>
      </c>
      <c r="C599" s="14" t="s">
        <v>221</v>
      </c>
      <c r="D599" s="15">
        <v>6</v>
      </c>
      <c r="E599" s="15"/>
      <c r="F599" s="15" t="s">
        <v>61</v>
      </c>
      <c r="G599" s="15">
        <v>9630</v>
      </c>
      <c r="H599" s="15" t="s">
        <v>170</v>
      </c>
      <c r="I599" s="16">
        <v>18529</v>
      </c>
      <c r="J599" s="15">
        <v>2</v>
      </c>
      <c r="K599" s="17" t="s">
        <v>222</v>
      </c>
      <c r="L599" s="1" t="str">
        <f>"VCTAR8P6N4L2J0HYFWDU"</f>
        <v>VCTAR8P6N4L2J0HYFWDU</v>
      </c>
      <c r="M599" s="2" t="str">
        <f>"8P6N4L2J0HYFWDUB"</f>
        <v>8P6N4L2J0HYFWDUB</v>
      </c>
      <c r="N599" s="1" t="s">
        <v>64</v>
      </c>
      <c r="O599" s="1">
        <v>7418</v>
      </c>
    </row>
    <row r="600" spans="1:15" x14ac:dyDescent="0.35">
      <c r="A600" s="18">
        <v>85296</v>
      </c>
      <c r="B600" s="18" t="s">
        <v>592</v>
      </c>
      <c r="C600" s="14" t="s">
        <v>223</v>
      </c>
      <c r="D600" s="15">
        <v>1</v>
      </c>
      <c r="E600" s="15"/>
      <c r="F600" s="15" t="s">
        <v>61</v>
      </c>
      <c r="G600" s="15">
        <v>4185</v>
      </c>
      <c r="H600" s="15" t="s">
        <v>68</v>
      </c>
      <c r="I600" s="16">
        <v>63074</v>
      </c>
      <c r="J600" s="15">
        <v>7</v>
      </c>
      <c r="K600" s="17" t="s">
        <v>224</v>
      </c>
      <c r="M600" s="2" t="str">
        <f>"AR8P"</f>
        <v/>
      </c>
    </row>
    <row r="601" spans="1:15" x14ac:dyDescent="0.35">
      <c r="A601" s="18">
        <v>17418</v>
      </c>
      <c r="B601" s="18" t="s">
        <v>592</v>
      </c>
      <c r="C601" s="14" t="s">
        <v>225</v>
      </c>
      <c r="D601" s="15">
        <v>3</v>
      </c>
      <c r="E601" s="15"/>
      <c r="F601" s="15" t="s">
        <v>61</v>
      </c>
      <c r="G601" s="15">
        <v>6307</v>
      </c>
      <c r="H601" s="15" t="s">
        <v>68</v>
      </c>
      <c r="I601" s="16">
        <v>85296</v>
      </c>
      <c r="J601" s="15">
        <v>9</v>
      </c>
      <c r="K601" s="17" t="s">
        <v>226</v>
      </c>
      <c r="M601" s="2" t="str">
        <f>"M3K1"</f>
        <v/>
      </c>
    </row>
    <row r="602" spans="1:15" x14ac:dyDescent="0.35">
      <c r="A602" s="18">
        <v>29630</v>
      </c>
      <c r="B602" s="18" t="s">
        <v>592</v>
      </c>
      <c r="C602" s="14" t="s">
        <v>227</v>
      </c>
      <c r="D602" s="15">
        <v>5</v>
      </c>
      <c r="E602" s="15"/>
      <c r="F602" s="15" t="s">
        <v>61</v>
      </c>
      <c r="G602" s="15">
        <v>8529</v>
      </c>
      <c r="H602" s="15" t="s">
        <v>68</v>
      </c>
      <c r="I602" s="16">
        <v>17418</v>
      </c>
      <c r="J602" s="15">
        <v>1</v>
      </c>
      <c r="K602" s="17" t="s">
        <v>228</v>
      </c>
      <c r="M602" s="2" t="str">
        <f>"YFWD"</f>
        <v/>
      </c>
    </row>
    <row r="603" spans="1:15" x14ac:dyDescent="0.35">
      <c r="A603" s="18">
        <v>41852</v>
      </c>
      <c r="B603" s="18" t="s">
        <v>592</v>
      </c>
      <c r="C603" s="14" t="s">
        <v>229</v>
      </c>
      <c r="D603" s="15">
        <v>7</v>
      </c>
      <c r="E603" s="15"/>
      <c r="F603" s="15" t="s">
        <v>61</v>
      </c>
      <c r="G603" s="15">
        <v>1741</v>
      </c>
      <c r="H603" s="15" t="s">
        <v>68</v>
      </c>
      <c r="I603" s="16">
        <v>29630</v>
      </c>
      <c r="J603" s="15">
        <v>3</v>
      </c>
      <c r="K603" s="17" t="s">
        <v>230</v>
      </c>
      <c r="M603" s="2" t="str">
        <f>"AR8P"</f>
        <v/>
      </c>
    </row>
    <row r="604" spans="1:15" x14ac:dyDescent="0.35">
      <c r="A604" s="18">
        <v>63074</v>
      </c>
      <c r="B604" s="18" t="s">
        <v>592</v>
      </c>
      <c r="C604" s="14" t="s">
        <v>231</v>
      </c>
      <c r="D604" s="15">
        <v>9</v>
      </c>
      <c r="E604" s="15"/>
      <c r="F604" s="15" t="s">
        <v>61</v>
      </c>
      <c r="G604" s="15">
        <v>2963</v>
      </c>
      <c r="H604" s="15" t="s">
        <v>68</v>
      </c>
      <c r="I604" s="16">
        <v>41852</v>
      </c>
      <c r="J604" s="15">
        <v>5</v>
      </c>
      <c r="K604" s="17" t="s">
        <v>232</v>
      </c>
      <c r="M604" s="2" t="str">
        <f>"M3K1"</f>
        <v/>
      </c>
    </row>
    <row r="605" spans="1:15" x14ac:dyDescent="0.35">
      <c r="A605" s="18">
        <v>85296</v>
      </c>
      <c r="B605" s="18" t="s">
        <v>592</v>
      </c>
      <c r="C605" s="14" t="s">
        <v>233</v>
      </c>
      <c r="D605" s="15">
        <v>1</v>
      </c>
      <c r="E605" s="15"/>
      <c r="F605" s="15" t="s">
        <v>61</v>
      </c>
      <c r="G605" s="15">
        <v>4185</v>
      </c>
      <c r="H605" s="15" t="s">
        <v>68</v>
      </c>
      <c r="I605" s="16">
        <v>63074</v>
      </c>
      <c r="J605" s="15">
        <v>7</v>
      </c>
      <c r="K605" s="17" t="s">
        <v>234</v>
      </c>
      <c r="M605" s="2" t="str">
        <f>"YFWD"</f>
        <v/>
      </c>
    </row>
    <row r="606" spans="1:15" x14ac:dyDescent="0.35">
      <c r="A606" s="18">
        <v>17418</v>
      </c>
      <c r="B606" s="18" t="s">
        <v>592</v>
      </c>
      <c r="C606" s="14" t="s">
        <v>235</v>
      </c>
      <c r="D606" s="15">
        <v>3</v>
      </c>
      <c r="E606" s="15"/>
      <c r="F606" s="15" t="s">
        <v>61</v>
      </c>
      <c r="G606" s="15">
        <v>6307</v>
      </c>
      <c r="H606" s="15" t="s">
        <v>68</v>
      </c>
      <c r="I606" s="16">
        <v>85296</v>
      </c>
      <c r="J606" s="15">
        <v>9</v>
      </c>
      <c r="K606" s="17" t="s">
        <v>236</v>
      </c>
      <c r="M606" s="2" t="str">
        <f>"AR8P"</f>
        <v/>
      </c>
    </row>
    <row r="607" spans="1:15" x14ac:dyDescent="0.35">
      <c r="A607" s="18">
        <v>29630</v>
      </c>
      <c r="B607" s="18" t="s">
        <v>592</v>
      </c>
      <c r="C607" s="14" t="s">
        <v>237</v>
      </c>
      <c r="D607" s="15">
        <v>5</v>
      </c>
      <c r="E607" s="15"/>
      <c r="F607" s="15" t="s">
        <v>61</v>
      </c>
      <c r="G607" s="15">
        <v>8529</v>
      </c>
      <c r="H607" s="15" t="s">
        <v>68</v>
      </c>
      <c r="I607" s="16">
        <v>17418</v>
      </c>
      <c r="J607" s="15">
        <v>1</v>
      </c>
      <c r="K607" s="17" t="s">
        <v>238</v>
      </c>
      <c r="M607" s="2" t="str">
        <f>"M3K1"</f>
        <v/>
      </c>
    </row>
    <row r="608" spans="1:15" x14ac:dyDescent="0.35">
      <c r="A608" s="18">
        <v>41852</v>
      </c>
      <c r="B608" s="18" t="s">
        <v>592</v>
      </c>
      <c r="C608" s="14" t="s">
        <v>239</v>
      </c>
      <c r="D608" s="15">
        <v>7</v>
      </c>
      <c r="E608" s="15"/>
      <c r="F608" s="15" t="s">
        <v>61</v>
      </c>
      <c r="G608" s="15">
        <v>1741</v>
      </c>
      <c r="H608" s="15" t="s">
        <v>170</v>
      </c>
      <c r="I608" s="16">
        <v>29630</v>
      </c>
      <c r="J608" s="15">
        <v>3</v>
      </c>
      <c r="K608" s="17" t="s">
        <v>240</v>
      </c>
      <c r="L608" s="1" t="str">
        <f>"YFWDUBS9Q7O5M3K1I"</f>
        <v>YFWDUBS9Q7O5M3K1I</v>
      </c>
      <c r="M608" s="2" t="str">
        <f>"BS9Q7O5M3"</f>
        <v>BS9Q7O5M3</v>
      </c>
      <c r="N608" s="1" t="s">
        <v>102</v>
      </c>
      <c r="O608" s="1">
        <v>85</v>
      </c>
    </row>
    <row r="609" spans="1:15" x14ac:dyDescent="0.35">
      <c r="A609" s="18">
        <v>96307</v>
      </c>
      <c r="B609" s="18" t="s">
        <v>592</v>
      </c>
      <c r="C609" s="14" t="s">
        <v>241</v>
      </c>
      <c r="D609" s="15">
        <v>2</v>
      </c>
      <c r="E609" s="15"/>
      <c r="F609" s="15" t="s">
        <v>61</v>
      </c>
      <c r="G609" s="15">
        <v>5296</v>
      </c>
      <c r="H609" s="15" t="s">
        <v>170</v>
      </c>
      <c r="I609" s="16">
        <v>74185</v>
      </c>
      <c r="J609" s="15">
        <v>8</v>
      </c>
      <c r="K609" s="17" t="s">
        <v>242</v>
      </c>
      <c r="L609" s="1" t="str">
        <f t="shared" ref="L609:L610" si="40">"DUBS9Q7O5M3K1IZGXEVC"</f>
        <v>DUBS9Q7O5M3K1IZGXEVC</v>
      </c>
      <c r="M609" s="2" t="str">
        <f>"Q7O5M3K1IZGXEVC"</f>
        <v>Q7O5M3K1IZGXEVC</v>
      </c>
      <c r="N609" s="1" t="s">
        <v>64</v>
      </c>
      <c r="O609" s="1">
        <v>3074</v>
      </c>
    </row>
    <row r="610" spans="1:15" x14ac:dyDescent="0.35">
      <c r="A610" s="18">
        <v>41852</v>
      </c>
      <c r="B610" s="18" t="s">
        <v>592</v>
      </c>
      <c r="C610" s="14" t="s">
        <v>243</v>
      </c>
      <c r="D610" s="15">
        <v>7</v>
      </c>
      <c r="E610" s="15"/>
      <c r="F610" s="15" t="s">
        <v>61</v>
      </c>
      <c r="G610" s="15">
        <v>1741</v>
      </c>
      <c r="H610" s="15" t="s">
        <v>170</v>
      </c>
      <c r="I610" s="16">
        <v>29630</v>
      </c>
      <c r="J610" s="15">
        <v>3</v>
      </c>
      <c r="K610" s="17" t="s">
        <v>244</v>
      </c>
      <c r="L610" s="1" t="str">
        <f t="shared" si="40"/>
        <v>S9Q7O5M3K1IZGXEVCTAR</v>
      </c>
      <c r="M610" s="2" t="str">
        <f>"5M3K1IZGXEVCTAR8P"</f>
        <v>5M3K1IZGXEVCTAR8P</v>
      </c>
      <c r="N610" s="1" t="s">
        <v>64</v>
      </c>
      <c r="O610" s="1">
        <v>8529</v>
      </c>
    </row>
    <row r="611" spans="1:15" x14ac:dyDescent="0.35">
      <c r="A611" s="18">
        <v>96307</v>
      </c>
      <c r="B611" s="18" t="s">
        <v>592</v>
      </c>
      <c r="C611" s="14" t="s">
        <v>245</v>
      </c>
      <c r="D611" s="15">
        <v>2</v>
      </c>
      <c r="E611" s="15"/>
      <c r="F611" s="15" t="s">
        <v>61</v>
      </c>
      <c r="G611" s="15">
        <v>5296</v>
      </c>
      <c r="H611" s="15" t="s">
        <v>68</v>
      </c>
      <c r="I611" s="16">
        <v>74185</v>
      </c>
      <c r="J611" s="15">
        <v>8</v>
      </c>
      <c r="K611" s="17" t="s">
        <v>246</v>
      </c>
      <c r="M611" s="2" t="str">
        <f>"7O5M"</f>
        <v/>
      </c>
    </row>
    <row r="612" spans="1:15" x14ac:dyDescent="0.35">
      <c r="A612" s="18">
        <v>18529</v>
      </c>
      <c r="B612" s="18" t="s">
        <v>592</v>
      </c>
      <c r="C612" s="14" t="s">
        <v>247</v>
      </c>
      <c r="D612" s="15">
        <v>4</v>
      </c>
      <c r="E612" s="15"/>
      <c r="F612" s="15" t="s">
        <v>61</v>
      </c>
      <c r="G612" s="15">
        <v>7418</v>
      </c>
      <c r="H612" s="15" t="s">
        <v>170</v>
      </c>
      <c r="I612" s="16">
        <v>96307</v>
      </c>
      <c r="J612" s="15">
        <v>1</v>
      </c>
      <c r="K612" s="17" t="s">
        <v>248</v>
      </c>
      <c r="L612" s="1" t="str">
        <f>"J0HYFWDUBS9Q7O5M3"</f>
        <v>J0HYFWDUBS9Q7O5M3</v>
      </c>
      <c r="M612" s="2" t="str">
        <f>"WDUBS9Q7O"</f>
        <v>WDUBS9Q7O</v>
      </c>
      <c r="N612" s="1" t="s">
        <v>102</v>
      </c>
      <c r="O612" s="1">
        <v>52</v>
      </c>
    </row>
    <row r="613" spans="1:15" x14ac:dyDescent="0.35">
      <c r="A613" s="18">
        <v>63074</v>
      </c>
      <c r="B613" s="18" t="s">
        <v>592</v>
      </c>
      <c r="C613" s="14" t="s">
        <v>249</v>
      </c>
      <c r="D613" s="15">
        <v>9</v>
      </c>
      <c r="E613" s="15"/>
      <c r="F613" s="15" t="s">
        <v>61</v>
      </c>
      <c r="G613" s="15">
        <v>2963</v>
      </c>
      <c r="H613" s="15" t="s">
        <v>170</v>
      </c>
      <c r="I613" s="16">
        <v>41852</v>
      </c>
      <c r="J613" s="15">
        <v>5</v>
      </c>
      <c r="K613" s="17" t="s">
        <v>250</v>
      </c>
      <c r="L613" s="1" t="str">
        <f>"YFWDUBS9Q7O5M3K1IZGX"</f>
        <v>YFWDUBS9Q7O5M3K1IZGX</v>
      </c>
      <c r="M613" s="2" t="str">
        <f>"BS9Q7O5M3K1IZGXEV"</f>
        <v>BS9Q7O5M3K1IZGXEV</v>
      </c>
      <c r="N613" s="1" t="s">
        <v>64</v>
      </c>
      <c r="O613" s="1">
        <v>1741</v>
      </c>
    </row>
    <row r="614" spans="1:15" x14ac:dyDescent="0.35">
      <c r="A614" s="18">
        <v>18529</v>
      </c>
      <c r="B614" s="18" t="s">
        <v>592</v>
      </c>
      <c r="C614" s="14" t="s">
        <v>251</v>
      </c>
      <c r="D614" s="15">
        <v>4</v>
      </c>
      <c r="E614" s="15"/>
      <c r="F614" s="15" t="s">
        <v>61</v>
      </c>
      <c r="G614" s="15">
        <v>7418</v>
      </c>
      <c r="H614" s="15" t="s">
        <v>68</v>
      </c>
      <c r="I614" s="16">
        <v>96307</v>
      </c>
      <c r="J614" s="15">
        <v>1</v>
      </c>
      <c r="K614" s="17" t="s">
        <v>252</v>
      </c>
      <c r="M614" s="2" t="str">
        <f>"DUBS"</f>
        <v/>
      </c>
    </row>
    <row r="615" spans="1:15" x14ac:dyDescent="0.35">
      <c r="A615" s="18">
        <v>30741</v>
      </c>
      <c r="B615" s="18" t="s">
        <v>592</v>
      </c>
      <c r="C615" s="14" t="s">
        <v>253</v>
      </c>
      <c r="D615" s="15">
        <v>6</v>
      </c>
      <c r="E615" s="15"/>
      <c r="F615" s="15" t="s">
        <v>61</v>
      </c>
      <c r="G615" s="15">
        <v>9630</v>
      </c>
      <c r="H615" s="15" t="s">
        <v>170</v>
      </c>
      <c r="I615" s="16">
        <v>18529</v>
      </c>
      <c r="J615" s="15">
        <v>2</v>
      </c>
      <c r="K615" s="17" t="s">
        <v>254</v>
      </c>
      <c r="L615" s="1" t="str">
        <f>"P6N4L2J0HYFWDUBS9"</f>
        <v>P6N4L2J0HYFWDUBS9</v>
      </c>
      <c r="M615" s="2" t="str">
        <f>"2J0HYFWDU"</f>
        <v>2J0HYFWDU</v>
      </c>
      <c r="N615" s="1" t="s">
        <v>102</v>
      </c>
      <c r="O615" s="1">
        <v>74</v>
      </c>
    </row>
    <row r="616" spans="1:15" x14ac:dyDescent="0.35">
      <c r="A616" s="18">
        <v>85296</v>
      </c>
      <c r="B616" s="18" t="s">
        <v>592</v>
      </c>
      <c r="C616" s="14" t="s">
        <v>255</v>
      </c>
      <c r="D616" s="15">
        <v>1</v>
      </c>
      <c r="E616" s="15"/>
      <c r="F616" s="15" t="s">
        <v>61</v>
      </c>
      <c r="G616" s="15">
        <v>4185</v>
      </c>
      <c r="H616" s="15" t="s">
        <v>170</v>
      </c>
      <c r="I616" s="16">
        <v>63074</v>
      </c>
      <c r="J616" s="15">
        <v>7</v>
      </c>
      <c r="K616" s="17" t="s">
        <v>256</v>
      </c>
      <c r="L616" s="1" t="str">
        <f>"4L2J0HYFWDUBS9Q7O5M3K1"</f>
        <v>4L2J0HYFWDUBS9Q7O5M3K1</v>
      </c>
      <c r="M616" s="2" t="str">
        <f>"HYFWDUBS9Q7O5M3K1"</f>
        <v>HYFWDUBS9Q7O5M3K1</v>
      </c>
      <c r="N616" s="1" t="s">
        <v>64</v>
      </c>
      <c r="O616" s="1">
        <v>296307</v>
      </c>
    </row>
    <row r="617" spans="1:15" x14ac:dyDescent="0.35">
      <c r="A617" s="18">
        <v>30741</v>
      </c>
      <c r="B617" s="18" t="s">
        <v>592</v>
      </c>
      <c r="C617" s="14" t="s">
        <v>257</v>
      </c>
      <c r="D617" s="15">
        <v>6</v>
      </c>
      <c r="E617" s="15"/>
      <c r="F617" s="15" t="s">
        <v>61</v>
      </c>
      <c r="G617" s="15">
        <v>9630</v>
      </c>
      <c r="H617" s="15" t="s">
        <v>68</v>
      </c>
      <c r="I617" s="16">
        <v>18529</v>
      </c>
      <c r="J617" s="15">
        <v>2</v>
      </c>
      <c r="K617" s="17" t="s">
        <v>258</v>
      </c>
      <c r="M617" s="2" t="str">
        <f>"J0HY"</f>
        <v/>
      </c>
    </row>
    <row r="618" spans="1:15" x14ac:dyDescent="0.35">
      <c r="A618" s="18">
        <v>52963</v>
      </c>
      <c r="B618" s="18" t="s">
        <v>592</v>
      </c>
      <c r="C618" s="14" t="s">
        <v>259</v>
      </c>
      <c r="D618" s="15">
        <v>8</v>
      </c>
      <c r="E618" s="15"/>
      <c r="F618" s="15" t="s">
        <v>61</v>
      </c>
      <c r="G618" s="15">
        <v>1852</v>
      </c>
      <c r="H618" s="15" t="s">
        <v>170</v>
      </c>
      <c r="I618" s="16">
        <v>30741</v>
      </c>
      <c r="J618" s="15">
        <v>4</v>
      </c>
      <c r="K618" s="17" t="s">
        <v>260</v>
      </c>
      <c r="L618" s="1" t="str">
        <f>"VCTAR8P6N4L2J0HYFWDUBS"</f>
        <v>VCTAR8P6N4L2J0HYFWDUBS</v>
      </c>
      <c r="M618" s="2" t="str">
        <f>"8P6N4L2J0HYFWDUBS"</f>
        <v>8P6N4L2J0HYFWDUBS</v>
      </c>
      <c r="N618" s="1" t="s">
        <v>64</v>
      </c>
      <c r="O618" s="1">
        <v>963074</v>
      </c>
    </row>
    <row r="619" spans="1:15" x14ac:dyDescent="0.35">
      <c r="A619" s="18">
        <v>17418</v>
      </c>
      <c r="B619" s="18" t="s">
        <v>592</v>
      </c>
      <c r="C619" s="14" t="s">
        <v>261</v>
      </c>
      <c r="D619" s="15">
        <v>3</v>
      </c>
      <c r="E619" s="15"/>
      <c r="F619" s="15" t="s">
        <v>61</v>
      </c>
      <c r="G619" s="15">
        <v>6307</v>
      </c>
      <c r="H619" s="15" t="s">
        <v>170</v>
      </c>
      <c r="I619" s="16">
        <v>85296</v>
      </c>
      <c r="J619" s="15">
        <v>9</v>
      </c>
      <c r="K619" s="17" t="s">
        <v>262</v>
      </c>
      <c r="L619" s="1" t="str">
        <f>"AR8P6N4L2J0HYFWDUBS9"</f>
        <v>AR8P6N4L2J0HYFWDUBS9</v>
      </c>
      <c r="M619" s="2" t="str">
        <f>"N4L2J0HYFWDUBS9Q"</f>
        <v>N4L2J0HYFWDUBS9Q</v>
      </c>
      <c r="N619" s="1" t="s">
        <v>64</v>
      </c>
      <c r="O619" s="1">
        <v>4185</v>
      </c>
    </row>
    <row r="620" spans="1:15" x14ac:dyDescent="0.35">
      <c r="A620" s="18">
        <v>52963</v>
      </c>
      <c r="B620" s="18" t="s">
        <v>592</v>
      </c>
      <c r="C620" s="14" t="s">
        <v>263</v>
      </c>
      <c r="D620" s="15">
        <v>8</v>
      </c>
      <c r="E620" s="15"/>
      <c r="F620" s="15" t="s">
        <v>61</v>
      </c>
      <c r="G620" s="15">
        <v>1852</v>
      </c>
      <c r="H620" s="15" t="s">
        <v>170</v>
      </c>
      <c r="I620" s="16">
        <v>30741</v>
      </c>
      <c r="J620" s="15">
        <v>4</v>
      </c>
      <c r="K620" s="17" t="s">
        <v>264</v>
      </c>
      <c r="L620" s="1" t="str">
        <f t="shared" ref="L620" si="41">"P6N4L2J0HYFWDUBS9Q7O"</f>
        <v>P6N4L2J0HYFWDUBS9Q7O</v>
      </c>
      <c r="M620" s="2" t="str">
        <f>"2J0HYFWDUBS9Q7O5"</f>
        <v>2J0HYFWDUBS9Q7O5</v>
      </c>
      <c r="N620" s="1" t="s">
        <v>64</v>
      </c>
      <c r="O620" s="1">
        <v>9630</v>
      </c>
    </row>
    <row r="621" spans="1:15" x14ac:dyDescent="0.35">
      <c r="A621" s="18">
        <v>17418</v>
      </c>
      <c r="B621" s="18" t="s">
        <v>592</v>
      </c>
      <c r="C621" s="14" t="s">
        <v>265</v>
      </c>
      <c r="D621" s="15">
        <v>3</v>
      </c>
      <c r="E621" s="15"/>
      <c r="F621" s="15" t="s">
        <v>61</v>
      </c>
      <c r="G621" s="15">
        <v>6307</v>
      </c>
      <c r="H621" s="15" t="s">
        <v>68</v>
      </c>
      <c r="I621" s="16">
        <v>85296</v>
      </c>
      <c r="J621" s="15">
        <v>9</v>
      </c>
      <c r="K621" s="17" t="s">
        <v>266</v>
      </c>
    </row>
    <row r="622" spans="1:15" x14ac:dyDescent="0.35">
      <c r="A622" s="18">
        <v>18529</v>
      </c>
      <c r="B622" s="18" t="s">
        <v>592</v>
      </c>
      <c r="C622" s="14" t="s">
        <v>267</v>
      </c>
      <c r="D622" s="15">
        <v>4</v>
      </c>
      <c r="E622" s="15"/>
      <c r="F622" s="15" t="s">
        <v>61</v>
      </c>
      <c r="G622" s="15">
        <v>7418</v>
      </c>
      <c r="H622" s="15" t="s">
        <v>170</v>
      </c>
      <c r="I622" s="16">
        <v>96307</v>
      </c>
      <c r="J622" s="15">
        <v>1</v>
      </c>
      <c r="K622" s="17" t="s">
        <v>268</v>
      </c>
      <c r="L622" s="1" t="str">
        <f>"3K1IZGXEVCTAR8P6N4L2"</f>
        <v>3K1IZGXEVCTAR8P6N4L2</v>
      </c>
      <c r="M622" s="2" t="str">
        <f>"GXEVCTAR8P6N4L2J"</f>
        <v>GXEVCTAR8P6N4L2J</v>
      </c>
      <c r="N622" s="1" t="s">
        <v>64</v>
      </c>
      <c r="O622" s="1">
        <v>5296</v>
      </c>
    </row>
    <row r="623" spans="1:15" x14ac:dyDescent="0.35">
      <c r="A623" s="18">
        <v>63074</v>
      </c>
      <c r="B623" s="18" t="s">
        <v>592</v>
      </c>
      <c r="C623" s="14" t="s">
        <v>269</v>
      </c>
      <c r="D623" s="15">
        <v>9</v>
      </c>
      <c r="E623" s="15"/>
      <c r="F623" s="15" t="s">
        <v>61</v>
      </c>
      <c r="G623" s="15">
        <v>2963</v>
      </c>
      <c r="H623" s="15" t="s">
        <v>68</v>
      </c>
      <c r="I623" s="16">
        <v>41852</v>
      </c>
      <c r="J623" s="15">
        <v>5</v>
      </c>
      <c r="K623" s="17" t="s">
        <v>270</v>
      </c>
      <c r="M623" s="2" t="str">
        <f>"IZGX"</f>
        <v/>
      </c>
    </row>
    <row r="624" spans="1:15" x14ac:dyDescent="0.35">
      <c r="A624" s="18">
        <v>85296</v>
      </c>
      <c r="B624" s="18" t="s">
        <v>592</v>
      </c>
      <c r="C624" s="14" t="s">
        <v>271</v>
      </c>
      <c r="D624" s="15">
        <v>1</v>
      </c>
      <c r="E624" s="15"/>
      <c r="F624" s="15" t="s">
        <v>61</v>
      </c>
      <c r="G624" s="15">
        <v>4185</v>
      </c>
      <c r="H624" s="15" t="s">
        <v>170</v>
      </c>
      <c r="I624" s="16">
        <v>63074</v>
      </c>
      <c r="J624" s="15">
        <v>7</v>
      </c>
      <c r="K624" s="17" t="s">
        <v>272</v>
      </c>
      <c r="L624" s="1" t="str">
        <f>"UBS9Q7O5M3K1IZGXEVCT"</f>
        <v>UBS9Q7O5M3K1IZGXEVCT</v>
      </c>
      <c r="M624" s="2" t="str">
        <f>"7O5M3K1IZGXEVCTAR8"</f>
        <v>7O5M3K1IZGXEVCTAR8</v>
      </c>
      <c r="N624" s="1" t="s">
        <v>64</v>
      </c>
      <c r="O624" s="1">
        <v>2963</v>
      </c>
    </row>
    <row r="625" spans="1:15" x14ac:dyDescent="0.35">
      <c r="A625" s="18">
        <v>30741</v>
      </c>
      <c r="B625" s="18" t="s">
        <v>592</v>
      </c>
      <c r="C625" s="14" t="s">
        <v>273</v>
      </c>
      <c r="D625" s="15">
        <v>6</v>
      </c>
      <c r="E625" s="15"/>
      <c r="F625" s="15" t="s">
        <v>61</v>
      </c>
      <c r="G625" s="15">
        <v>9630</v>
      </c>
      <c r="H625" s="15" t="s">
        <v>170</v>
      </c>
      <c r="I625" s="16">
        <v>18529</v>
      </c>
      <c r="J625" s="15">
        <v>2</v>
      </c>
      <c r="K625" s="17" t="s">
        <v>274</v>
      </c>
      <c r="L625" s="1" t="str">
        <f>"9Q7O5M3K1IZGXEVCTAR8"</f>
        <v>9Q7O5M3K1IZGXEVCTAR8</v>
      </c>
      <c r="M625" s="2" t="str">
        <f>"M3K1IZGXEVCTAR8P6"</f>
        <v>M3K1IZGXEVCTAR8P6</v>
      </c>
      <c r="N625" s="1" t="s">
        <v>64</v>
      </c>
      <c r="O625" s="1">
        <v>7418</v>
      </c>
    </row>
    <row r="626" spans="1:15" x14ac:dyDescent="0.35">
      <c r="A626" s="18">
        <v>85296</v>
      </c>
      <c r="B626" s="18" t="s">
        <v>592</v>
      </c>
      <c r="C626" s="14" t="s">
        <v>275</v>
      </c>
      <c r="D626" s="15">
        <v>1</v>
      </c>
      <c r="E626" s="15"/>
      <c r="F626" s="15" t="s">
        <v>61</v>
      </c>
      <c r="G626" s="15">
        <v>4185</v>
      </c>
      <c r="H626" s="15" t="s">
        <v>68</v>
      </c>
      <c r="I626" s="16">
        <v>63074</v>
      </c>
      <c r="J626" s="15">
        <v>7</v>
      </c>
      <c r="K626" s="17" t="s">
        <v>276</v>
      </c>
      <c r="M626" s="2" t="str">
        <f>"O5M3"</f>
        <v/>
      </c>
    </row>
    <row r="627" spans="1:15" x14ac:dyDescent="0.35">
      <c r="A627" s="18">
        <v>17418</v>
      </c>
      <c r="B627" s="18" t="s">
        <v>592</v>
      </c>
      <c r="C627" s="14" t="s">
        <v>277</v>
      </c>
      <c r="D627" s="15">
        <v>3</v>
      </c>
      <c r="E627" s="15"/>
      <c r="F627" s="15" t="s">
        <v>61</v>
      </c>
      <c r="G627" s="15">
        <v>6307</v>
      </c>
      <c r="H627" s="15" t="s">
        <v>68</v>
      </c>
      <c r="I627" s="16">
        <v>85296</v>
      </c>
      <c r="J627" s="15">
        <v>9</v>
      </c>
      <c r="K627" s="17" t="s">
        <v>278</v>
      </c>
      <c r="M627" s="2" t="str">
        <f>"0HYF"</f>
        <v/>
      </c>
    </row>
    <row r="628" spans="1:15" x14ac:dyDescent="0.35">
      <c r="A628" s="18">
        <v>29630</v>
      </c>
      <c r="B628" s="18" t="s">
        <v>592</v>
      </c>
      <c r="C628" s="14" t="s">
        <v>279</v>
      </c>
      <c r="D628" s="15">
        <v>5</v>
      </c>
      <c r="E628" s="15"/>
      <c r="F628" s="15" t="s">
        <v>61</v>
      </c>
      <c r="G628" s="15">
        <v>8529</v>
      </c>
      <c r="H628" s="15" t="s">
        <v>170</v>
      </c>
      <c r="I628" s="16">
        <v>17418</v>
      </c>
      <c r="J628" s="15">
        <v>1</v>
      </c>
      <c r="K628" s="17" t="s">
        <v>280</v>
      </c>
      <c r="L628" s="1" t="str">
        <f>"CTAR8P6N4L2J0HYFWDUB"</f>
        <v>CTAR8P6N4L2J0HYFWDUB</v>
      </c>
      <c r="M628" s="2" t="str">
        <f>"P6N4L2J0HYFWDUBS9Q"</f>
        <v>P6N4L2J0HYFWDUBS9Q</v>
      </c>
      <c r="N628" s="1" t="s">
        <v>64</v>
      </c>
      <c r="O628" s="1">
        <v>6307</v>
      </c>
    </row>
    <row r="629" spans="1:15" x14ac:dyDescent="0.35">
      <c r="A629" s="18">
        <v>74185</v>
      </c>
      <c r="B629" s="18" t="s">
        <v>592</v>
      </c>
      <c r="C629" s="14" t="s">
        <v>281</v>
      </c>
      <c r="D629" s="15">
        <v>1</v>
      </c>
      <c r="E629" s="15"/>
      <c r="F629" s="15" t="s">
        <v>61</v>
      </c>
      <c r="G629" s="15">
        <v>3074</v>
      </c>
      <c r="H629" s="15" t="s">
        <v>170</v>
      </c>
      <c r="I629" s="16">
        <v>52963</v>
      </c>
      <c r="J629" s="15">
        <v>6</v>
      </c>
      <c r="K629" s="17" t="s">
        <v>282</v>
      </c>
      <c r="L629" s="1" t="str">
        <f>"R8P6N4L2J0HYFWDUBS9Q"</f>
        <v>R8P6N4L2J0HYFWDUBS9Q</v>
      </c>
      <c r="M629" s="2" t="str">
        <f>"4L2J0HYFWDUBS9Q7O"</f>
        <v>4L2J0HYFWDUBS9Q7O</v>
      </c>
      <c r="N629" s="1" t="s">
        <v>64</v>
      </c>
      <c r="O629" s="1">
        <v>1852</v>
      </c>
    </row>
    <row r="630" spans="1:15" x14ac:dyDescent="0.35">
      <c r="A630" s="18">
        <v>29630</v>
      </c>
      <c r="B630" s="18" t="s">
        <v>592</v>
      </c>
      <c r="C630" s="14" t="s">
        <v>283</v>
      </c>
      <c r="D630" s="15">
        <v>5</v>
      </c>
      <c r="E630" s="15"/>
      <c r="F630" s="15" t="s">
        <v>61</v>
      </c>
      <c r="G630" s="15">
        <v>8529</v>
      </c>
      <c r="H630" s="15" t="s">
        <v>170</v>
      </c>
      <c r="I630" s="16">
        <v>17418</v>
      </c>
      <c r="J630" s="15">
        <v>1</v>
      </c>
      <c r="K630" s="17" t="s">
        <v>284</v>
      </c>
      <c r="L630" s="1" t="str">
        <f>"6N4L2J0HYFWDUBS9Q7O5"</f>
        <v>6N4L2J0HYFWDUBS9Q7O5</v>
      </c>
      <c r="M630" s="2" t="str">
        <f>"J0HYFWDUBS9Q7O5M3"</f>
        <v>J0HYFWDUBS9Q7O5M3</v>
      </c>
      <c r="N630" s="1" t="s">
        <v>64</v>
      </c>
      <c r="O630" s="1">
        <v>6307</v>
      </c>
    </row>
    <row r="631" spans="1:15" x14ac:dyDescent="0.35">
      <c r="A631" s="18">
        <v>74185</v>
      </c>
      <c r="B631" s="18" t="s">
        <v>592</v>
      </c>
      <c r="C631" s="14" t="s">
        <v>285</v>
      </c>
      <c r="D631" s="15">
        <v>1</v>
      </c>
      <c r="E631" s="15"/>
      <c r="F631" s="15" t="s">
        <v>61</v>
      </c>
      <c r="G631" s="15">
        <v>3074</v>
      </c>
      <c r="H631" s="15" t="s">
        <v>68</v>
      </c>
      <c r="I631" s="16">
        <v>52963</v>
      </c>
      <c r="J631" s="15">
        <v>6</v>
      </c>
      <c r="K631" s="17" t="s">
        <v>286</v>
      </c>
      <c r="M631" s="2" t="str">
        <f>"L2J0"</f>
        <v/>
      </c>
    </row>
    <row r="632" spans="1:15" x14ac:dyDescent="0.35">
      <c r="A632" s="18">
        <v>96307</v>
      </c>
      <c r="B632" s="18" t="s">
        <v>592</v>
      </c>
      <c r="C632" s="14" t="s">
        <v>287</v>
      </c>
      <c r="D632" s="15">
        <v>2</v>
      </c>
      <c r="E632" s="15"/>
      <c r="F632" s="15" t="s">
        <v>61</v>
      </c>
      <c r="G632" s="15">
        <v>5296</v>
      </c>
      <c r="H632" s="15" t="s">
        <v>68</v>
      </c>
      <c r="I632" s="16">
        <v>74185</v>
      </c>
      <c r="J632" s="15">
        <v>8</v>
      </c>
      <c r="K632" s="17" t="s">
        <v>288</v>
      </c>
      <c r="M632" s="2" t="str">
        <f>"XEVC"</f>
        <v/>
      </c>
    </row>
    <row r="633" spans="1:15" x14ac:dyDescent="0.35">
      <c r="A633" s="18">
        <v>18529</v>
      </c>
      <c r="B633" s="18" t="s">
        <v>592</v>
      </c>
      <c r="C633" s="14" t="s">
        <v>289</v>
      </c>
      <c r="D633" s="15">
        <v>4</v>
      </c>
      <c r="E633" s="15"/>
      <c r="F633" s="15" t="s">
        <v>61</v>
      </c>
      <c r="G633" s="15">
        <v>7418</v>
      </c>
      <c r="H633" s="15" t="s">
        <v>170</v>
      </c>
      <c r="I633" s="16">
        <v>96307</v>
      </c>
      <c r="J633" s="15">
        <v>1</v>
      </c>
      <c r="K633" s="17" t="s">
        <v>290</v>
      </c>
      <c r="L633" s="1" t="str">
        <f t="shared" ref="L633:L634" si="42">"9Q7O5M3K1IZGXEVCT"</f>
        <v>9Q7O5M3K1IZGXEVCT</v>
      </c>
      <c r="M633" s="2" t="str">
        <f>"M3K1IZGXE"</f>
        <v>M3K1IZGXE</v>
      </c>
      <c r="N633" s="1" t="s">
        <v>102</v>
      </c>
      <c r="O633" s="1">
        <v>52</v>
      </c>
    </row>
    <row r="634" spans="1:15" x14ac:dyDescent="0.35">
      <c r="A634" s="18">
        <v>63074</v>
      </c>
      <c r="B634" s="18" t="s">
        <v>592</v>
      </c>
      <c r="C634" s="14" t="s">
        <v>291</v>
      </c>
      <c r="D634" s="15">
        <v>9</v>
      </c>
      <c r="E634" s="15"/>
      <c r="F634" s="15" t="s">
        <v>61</v>
      </c>
      <c r="G634" s="15">
        <v>2963</v>
      </c>
      <c r="H634" s="15" t="s">
        <v>170</v>
      </c>
      <c r="I634" s="16">
        <v>41852</v>
      </c>
      <c r="J634" s="15">
        <v>5</v>
      </c>
      <c r="K634" s="17" t="s">
        <v>292</v>
      </c>
      <c r="L634" s="1" t="str">
        <f t="shared" si="42"/>
        <v>O5M3K1IZGXEVCTAR8P6N</v>
      </c>
      <c r="M634" s="2" t="str">
        <f>"1IZGXEVCTAR8P6N4L"</f>
        <v>1IZGXEVCTAR8P6N4L</v>
      </c>
      <c r="N634" s="1" t="s">
        <v>64</v>
      </c>
      <c r="O634" s="1">
        <v>1741</v>
      </c>
    </row>
    <row r="635" spans="1:15" x14ac:dyDescent="0.35">
      <c r="A635" s="18">
        <v>18529</v>
      </c>
      <c r="B635" s="18" t="s">
        <v>592</v>
      </c>
      <c r="C635" s="14" t="s">
        <v>293</v>
      </c>
      <c r="D635" s="15">
        <v>4</v>
      </c>
      <c r="E635" s="15"/>
      <c r="F635" s="15" t="s">
        <v>61</v>
      </c>
      <c r="G635" s="15">
        <v>7418</v>
      </c>
      <c r="H635" s="15" t="s">
        <v>68</v>
      </c>
      <c r="I635" s="16">
        <v>96307</v>
      </c>
      <c r="J635" s="15">
        <v>1</v>
      </c>
      <c r="K635" s="17" t="s">
        <v>294</v>
      </c>
      <c r="M635" s="2" t="str">
        <f>"3K1I"</f>
        <v/>
      </c>
    </row>
    <row r="636" spans="1:15" x14ac:dyDescent="0.35">
      <c r="A636" s="18">
        <v>30741</v>
      </c>
      <c r="B636" s="18" t="s">
        <v>592</v>
      </c>
      <c r="C636" s="14" t="s">
        <v>295</v>
      </c>
      <c r="D636" s="15">
        <v>6</v>
      </c>
      <c r="E636" s="15"/>
      <c r="F636" s="15" t="s">
        <v>61</v>
      </c>
      <c r="G636" s="15">
        <v>9630</v>
      </c>
      <c r="H636" s="15" t="s">
        <v>68</v>
      </c>
      <c r="I636" s="16">
        <v>18529</v>
      </c>
      <c r="J636" s="15">
        <v>2</v>
      </c>
      <c r="K636" s="17" t="s">
        <v>296</v>
      </c>
      <c r="M636" s="2" t="str">
        <f>"FWDU"</f>
        <v/>
      </c>
    </row>
    <row r="637" spans="1:15" x14ac:dyDescent="0.35">
      <c r="A637" s="18">
        <v>52963</v>
      </c>
      <c r="B637" s="18" t="s">
        <v>592</v>
      </c>
      <c r="C637" s="14" t="s">
        <v>297</v>
      </c>
      <c r="D637" s="15">
        <v>8</v>
      </c>
      <c r="E637" s="15"/>
      <c r="F637" s="15" t="s">
        <v>61</v>
      </c>
      <c r="G637" s="15">
        <v>1852</v>
      </c>
      <c r="H637" s="15" t="s">
        <v>68</v>
      </c>
      <c r="I637" s="16">
        <v>30741</v>
      </c>
      <c r="J637" s="15">
        <v>4</v>
      </c>
      <c r="K637" s="17" t="s">
        <v>298</v>
      </c>
      <c r="M637" s="2" t="str">
        <f>"R8P6"</f>
        <v/>
      </c>
    </row>
    <row r="638" spans="1:15" x14ac:dyDescent="0.35">
      <c r="A638" s="18">
        <v>74185</v>
      </c>
      <c r="B638" s="18" t="s">
        <v>592</v>
      </c>
      <c r="C638" s="14" t="s">
        <v>299</v>
      </c>
      <c r="D638" s="15">
        <v>1</v>
      </c>
      <c r="E638" s="15"/>
      <c r="F638" s="15" t="s">
        <v>61</v>
      </c>
      <c r="G638" s="15">
        <v>3074</v>
      </c>
      <c r="H638" s="15" t="s">
        <v>68</v>
      </c>
      <c r="I638" s="16">
        <v>52963</v>
      </c>
      <c r="J638" s="15">
        <v>6</v>
      </c>
      <c r="K638" s="17" t="s">
        <v>300</v>
      </c>
      <c r="M638" s="2" t="str">
        <f>"3K1I"</f>
        <v/>
      </c>
    </row>
    <row r="639" spans="1:15" x14ac:dyDescent="0.35">
      <c r="A639" s="18">
        <v>96307</v>
      </c>
      <c r="B639" s="18" t="s">
        <v>592</v>
      </c>
      <c r="C639" s="14" t="s">
        <v>301</v>
      </c>
      <c r="D639" s="15">
        <v>2</v>
      </c>
      <c r="E639" s="15"/>
      <c r="F639" s="15" t="s">
        <v>61</v>
      </c>
      <c r="G639" s="15">
        <v>5296</v>
      </c>
      <c r="H639" s="15" t="s">
        <v>170</v>
      </c>
      <c r="I639" s="16">
        <v>74185</v>
      </c>
      <c r="J639" s="15">
        <v>8</v>
      </c>
      <c r="K639" s="17" t="s">
        <v>302</v>
      </c>
      <c r="L639" s="1" t="str">
        <f t="shared" ref="L639:L645" si="43">"FWDUBS9Q7O5M3K1IZGXE"</f>
        <v>FWDUBS9Q7O5M3K1IZGXE</v>
      </c>
      <c r="M639" s="2" t="str">
        <f>"S9Q7O5M3K1IZGXEVC"</f>
        <v>S9Q7O5M3K1IZGXEVC</v>
      </c>
      <c r="N639" s="1" t="s">
        <v>64</v>
      </c>
      <c r="O639" s="1">
        <v>3074</v>
      </c>
    </row>
    <row r="640" spans="1:15" x14ac:dyDescent="0.35">
      <c r="A640" s="18">
        <v>41852</v>
      </c>
      <c r="B640" s="18" t="s">
        <v>592</v>
      </c>
      <c r="C640" s="14" t="s">
        <v>303</v>
      </c>
      <c r="D640" s="15">
        <v>7</v>
      </c>
      <c r="E640" s="15"/>
      <c r="F640" s="15" t="s">
        <v>61</v>
      </c>
      <c r="G640" s="15">
        <v>1741</v>
      </c>
      <c r="H640" s="15" t="s">
        <v>170</v>
      </c>
      <c r="I640" s="16">
        <v>29630</v>
      </c>
      <c r="J640" s="15">
        <v>3</v>
      </c>
      <c r="K640" s="17" t="s">
        <v>304</v>
      </c>
      <c r="L640" s="1" t="str">
        <f t="shared" si="43"/>
        <v>UBS9Q7O5M3K1IZGXEVCT</v>
      </c>
      <c r="M640" s="2" t="str">
        <f>"7O5M3K1IZGXEVCT"</f>
        <v>7O5M3K1IZGXEVCT</v>
      </c>
      <c r="N640" s="1" t="s">
        <v>64</v>
      </c>
      <c r="O640" s="1">
        <v>8529</v>
      </c>
    </row>
    <row r="641" spans="1:15" x14ac:dyDescent="0.35">
      <c r="A641" s="18">
        <v>96307</v>
      </c>
      <c r="B641" s="18" t="s">
        <v>592</v>
      </c>
      <c r="C641" s="14" t="s">
        <v>305</v>
      </c>
      <c r="D641" s="15">
        <v>2</v>
      </c>
      <c r="E641" s="15"/>
      <c r="F641" s="15" t="s">
        <v>61</v>
      </c>
      <c r="G641" s="15">
        <v>5296</v>
      </c>
      <c r="H641" s="15" t="s">
        <v>170</v>
      </c>
      <c r="I641" s="16">
        <v>74185</v>
      </c>
      <c r="J641" s="15">
        <v>8</v>
      </c>
      <c r="K641" s="17" t="s">
        <v>306</v>
      </c>
      <c r="L641" s="1" t="str">
        <f t="shared" si="43"/>
        <v>9Q7O5M3K1IZGXEVCTAR8</v>
      </c>
      <c r="M641" s="2" t="str">
        <f>"M3K1IZGXEVCTAR8P6"</f>
        <v>M3K1IZGXEVCTAR8P6</v>
      </c>
      <c r="N641" s="1" t="s">
        <v>64</v>
      </c>
      <c r="O641" s="1">
        <v>3074</v>
      </c>
    </row>
    <row r="642" spans="1:15" x14ac:dyDescent="0.35">
      <c r="A642" s="18">
        <v>41852</v>
      </c>
      <c r="B642" s="18" t="s">
        <v>592</v>
      </c>
      <c r="C642" s="14" t="s">
        <v>307</v>
      </c>
      <c r="D642" s="15">
        <v>7</v>
      </c>
      <c r="E642" s="15"/>
      <c r="F642" s="15" t="s">
        <v>61</v>
      </c>
      <c r="G642" s="15">
        <v>1741</v>
      </c>
      <c r="H642" s="15" t="s">
        <v>170</v>
      </c>
      <c r="I642" s="16">
        <v>29630</v>
      </c>
      <c r="J642" s="15">
        <v>3</v>
      </c>
      <c r="K642" s="17" t="s">
        <v>308</v>
      </c>
      <c r="L642" s="1" t="str">
        <f t="shared" si="43"/>
        <v>O5M3K1IZGXEVCTAR8P6N</v>
      </c>
      <c r="M642" s="2" t="str">
        <f>"1IZGXEVCTAR8P6N4L2"</f>
        <v>1IZGXEVCTAR8P6N4L2</v>
      </c>
      <c r="N642" s="1" t="s">
        <v>64</v>
      </c>
      <c r="O642" s="1">
        <v>8529</v>
      </c>
    </row>
    <row r="643" spans="1:15" x14ac:dyDescent="0.35">
      <c r="A643" s="18">
        <v>96307</v>
      </c>
      <c r="B643" s="18" t="s">
        <v>592</v>
      </c>
      <c r="C643" s="14" t="s">
        <v>309</v>
      </c>
      <c r="D643" s="15">
        <v>2</v>
      </c>
      <c r="E643" s="15"/>
      <c r="F643" s="15" t="s">
        <v>61</v>
      </c>
      <c r="G643" s="15">
        <v>5296</v>
      </c>
      <c r="H643" s="15" t="s">
        <v>170</v>
      </c>
      <c r="I643" s="16">
        <v>74185</v>
      </c>
      <c r="J643" s="15">
        <v>8</v>
      </c>
      <c r="K643" s="17" t="s">
        <v>310</v>
      </c>
      <c r="L643" s="1" t="str">
        <f t="shared" si="43"/>
        <v>3K1IZGXEVCTAR8P6N4L2</v>
      </c>
      <c r="M643" s="2" t="str">
        <f>"GXEVCTAR8P6N4L2J0"</f>
        <v>GXEVCTAR8P6N4L2J0</v>
      </c>
      <c r="N643" s="1" t="s">
        <v>64</v>
      </c>
      <c r="O643" s="1">
        <v>3074</v>
      </c>
    </row>
    <row r="644" spans="1:15" x14ac:dyDescent="0.35">
      <c r="A644" s="18">
        <v>41852</v>
      </c>
      <c r="B644" s="18" t="s">
        <v>592</v>
      </c>
      <c r="C644" s="14" t="s">
        <v>311</v>
      </c>
      <c r="D644" s="15">
        <v>7</v>
      </c>
      <c r="E644" s="15"/>
      <c r="F644" s="15" t="s">
        <v>61</v>
      </c>
      <c r="G644" s="15">
        <v>1741</v>
      </c>
      <c r="H644" s="15" t="s">
        <v>170</v>
      </c>
      <c r="I644" s="16">
        <v>29630</v>
      </c>
      <c r="J644" s="15">
        <v>3</v>
      </c>
      <c r="K644" s="17" t="s">
        <v>312</v>
      </c>
      <c r="L644" s="1" t="str">
        <f t="shared" si="43"/>
        <v>IZGXEVCTAR8P6N4L2J0H</v>
      </c>
      <c r="M644" s="2" t="str">
        <f>"VCTAR8P6N4L2J0HYF"</f>
        <v>VCTAR8P6N4L2J0HYF</v>
      </c>
      <c r="N644" s="1" t="s">
        <v>64</v>
      </c>
      <c r="O644" s="1">
        <v>8529</v>
      </c>
    </row>
    <row r="645" spans="1:15" x14ac:dyDescent="0.35">
      <c r="A645" s="18">
        <v>96307</v>
      </c>
      <c r="B645" s="18" t="s">
        <v>592</v>
      </c>
      <c r="C645" s="14" t="s">
        <v>313</v>
      </c>
      <c r="D645" s="15">
        <v>2</v>
      </c>
      <c r="E645" s="15"/>
      <c r="F645" s="15" t="s">
        <v>61</v>
      </c>
      <c r="G645" s="15">
        <v>5296</v>
      </c>
      <c r="H645" s="15" t="s">
        <v>170</v>
      </c>
      <c r="I645" s="16">
        <v>74185</v>
      </c>
      <c r="J645" s="15">
        <v>8</v>
      </c>
      <c r="K645" s="17" t="s">
        <v>314</v>
      </c>
      <c r="L645" s="1" t="str">
        <f t="shared" si="43"/>
        <v>XEVCTAR8P6N4L2J0HYFW</v>
      </c>
      <c r="M645" s="2" t="str">
        <f>"AR8P6N4L2J0HYFWDU"</f>
        <v>AR8P6N4L2J0HYFWDU</v>
      </c>
      <c r="N645" s="1" t="s">
        <v>64</v>
      </c>
      <c r="O645" s="1">
        <v>3074</v>
      </c>
    </row>
    <row r="646" spans="1:15" x14ac:dyDescent="0.35">
      <c r="A646" s="18">
        <v>41852</v>
      </c>
      <c r="B646" s="18" t="s">
        <v>592</v>
      </c>
      <c r="C646" s="14" t="s">
        <v>315</v>
      </c>
      <c r="D646" s="15">
        <v>7</v>
      </c>
      <c r="E646" s="15"/>
      <c r="F646" s="15" t="s">
        <v>61</v>
      </c>
      <c r="G646" s="15">
        <v>1741</v>
      </c>
      <c r="H646" s="15" t="s">
        <v>68</v>
      </c>
      <c r="I646" s="16">
        <v>29630</v>
      </c>
      <c r="J646" s="15">
        <v>3</v>
      </c>
      <c r="K646" s="17" t="s">
        <v>316</v>
      </c>
      <c r="M646" s="2" t="str">
        <f>"CTAR"</f>
        <v/>
      </c>
    </row>
    <row r="647" spans="1:15" x14ac:dyDescent="0.35">
      <c r="A647" s="18">
        <v>63074</v>
      </c>
      <c r="B647" s="18" t="s">
        <v>592</v>
      </c>
      <c r="C647" s="14" t="s">
        <v>317</v>
      </c>
      <c r="D647" s="15">
        <v>9</v>
      </c>
      <c r="E647" s="15"/>
      <c r="F647" s="15" t="s">
        <v>61</v>
      </c>
      <c r="G647" s="15">
        <v>2963</v>
      </c>
      <c r="H647" s="15" t="s">
        <v>68</v>
      </c>
      <c r="I647" s="16">
        <v>41852</v>
      </c>
      <c r="J647" s="15">
        <v>5</v>
      </c>
      <c r="K647" s="17" t="s">
        <v>318</v>
      </c>
      <c r="M647" s="2" t="str">
        <f>"O5M3"</f>
        <v/>
      </c>
    </row>
    <row r="648" spans="1:15" x14ac:dyDescent="0.35">
      <c r="A648" s="18">
        <v>85296</v>
      </c>
      <c r="B648" s="18" t="s">
        <v>592</v>
      </c>
      <c r="C648" s="14" t="s">
        <v>319</v>
      </c>
      <c r="D648" s="15">
        <v>1</v>
      </c>
      <c r="E648" s="15"/>
      <c r="F648" s="15" t="s">
        <v>61</v>
      </c>
      <c r="G648" s="15">
        <v>4185</v>
      </c>
      <c r="H648" s="15" t="s">
        <v>68</v>
      </c>
      <c r="I648" s="16">
        <v>63074</v>
      </c>
      <c r="J648" s="15">
        <v>7</v>
      </c>
      <c r="K648" s="17" t="s">
        <v>320</v>
      </c>
      <c r="M648" s="2" t="str">
        <f>"0HYF"</f>
        <v/>
      </c>
    </row>
    <row r="649" spans="1:15" x14ac:dyDescent="0.35">
      <c r="A649" s="18">
        <v>17418</v>
      </c>
      <c r="B649" s="18" t="s">
        <v>592</v>
      </c>
      <c r="C649" s="14" t="s">
        <v>321</v>
      </c>
      <c r="D649" s="15">
        <v>3</v>
      </c>
      <c r="E649" s="15"/>
      <c r="F649" s="15" t="s">
        <v>61</v>
      </c>
      <c r="G649" s="15">
        <v>6307</v>
      </c>
      <c r="H649" s="15" t="s">
        <v>68</v>
      </c>
      <c r="I649" s="16">
        <v>85296</v>
      </c>
      <c r="J649" s="15">
        <v>9</v>
      </c>
      <c r="K649" s="17" t="s">
        <v>322</v>
      </c>
      <c r="M649" s="2" t="str">
        <f>"CTAR"</f>
        <v/>
      </c>
    </row>
    <row r="650" spans="1:15" x14ac:dyDescent="0.35">
      <c r="A650" s="18">
        <v>29630</v>
      </c>
      <c r="B650" s="18" t="s">
        <v>592</v>
      </c>
      <c r="C650" s="14" t="s">
        <v>323</v>
      </c>
      <c r="D650" s="15">
        <v>5</v>
      </c>
      <c r="E650" s="15"/>
      <c r="F650" s="15" t="s">
        <v>61</v>
      </c>
      <c r="G650" s="15">
        <v>8529</v>
      </c>
      <c r="H650" s="15" t="s">
        <v>68</v>
      </c>
      <c r="I650" s="16">
        <v>17418</v>
      </c>
      <c r="J650" s="15">
        <v>1</v>
      </c>
      <c r="K650" s="17" t="s">
        <v>324</v>
      </c>
      <c r="M650" s="2" t="str">
        <f>"O5M3"</f>
        <v/>
      </c>
    </row>
    <row r="651" spans="1:15" x14ac:dyDescent="0.35">
      <c r="A651" s="18">
        <v>41852</v>
      </c>
      <c r="B651" s="18" t="s">
        <v>592</v>
      </c>
      <c r="C651" s="14" t="s">
        <v>325</v>
      </c>
      <c r="D651" s="15">
        <v>7</v>
      </c>
      <c r="E651" s="15"/>
      <c r="F651" s="15" t="s">
        <v>61</v>
      </c>
      <c r="G651" s="15">
        <v>1741</v>
      </c>
      <c r="H651" s="15" t="s">
        <v>68</v>
      </c>
      <c r="I651" s="16">
        <v>29630</v>
      </c>
      <c r="J651" s="15">
        <v>3</v>
      </c>
      <c r="K651" s="17" t="s">
        <v>326</v>
      </c>
      <c r="M651" s="2" t="str">
        <f>"0HYF"</f>
        <v/>
      </c>
    </row>
    <row r="652" spans="1:15" x14ac:dyDescent="0.35">
      <c r="A652" s="18">
        <v>63074</v>
      </c>
      <c r="B652" s="18" t="s">
        <v>592</v>
      </c>
      <c r="C652" s="14" t="s">
        <v>327</v>
      </c>
      <c r="D652" s="15">
        <v>9</v>
      </c>
      <c r="E652" s="15"/>
      <c r="F652" s="15" t="s">
        <v>61</v>
      </c>
      <c r="G652" s="15">
        <v>2963</v>
      </c>
      <c r="H652" s="15" t="s">
        <v>170</v>
      </c>
      <c r="I652" s="16">
        <v>41852</v>
      </c>
      <c r="J652" s="15">
        <v>5</v>
      </c>
      <c r="K652" s="17" t="s">
        <v>328</v>
      </c>
      <c r="L652" s="1" t="str">
        <f>"CTAR8P6N4L2J0HYFW"</f>
        <v>CTAR8P6N4L2J0HYFW</v>
      </c>
      <c r="M652" s="2" t="str">
        <f>"P6N4L2J0H"</f>
        <v>P6N4L2J0H</v>
      </c>
      <c r="N652" s="1" t="s">
        <v>102</v>
      </c>
      <c r="O652" s="1">
        <v>17</v>
      </c>
    </row>
    <row r="653" spans="1:15" x14ac:dyDescent="0.35">
      <c r="A653" s="18">
        <v>18529</v>
      </c>
      <c r="B653" s="18" t="s">
        <v>592</v>
      </c>
      <c r="C653" s="14" t="s">
        <v>329</v>
      </c>
      <c r="D653" s="15">
        <v>4</v>
      </c>
      <c r="E653" s="15"/>
      <c r="F653" s="15" t="s">
        <v>61</v>
      </c>
      <c r="G653" s="15">
        <v>7418</v>
      </c>
      <c r="H653" s="15" t="s">
        <v>68</v>
      </c>
      <c r="I653" s="16">
        <v>96307</v>
      </c>
      <c r="J653" s="15">
        <v>1</v>
      </c>
      <c r="K653" s="17" t="s">
        <v>330</v>
      </c>
      <c r="M653" s="2" t="str">
        <f>"R8P6"</f>
        <v/>
      </c>
    </row>
    <row r="654" spans="1:15" x14ac:dyDescent="0.35">
      <c r="A654" s="18">
        <v>30741</v>
      </c>
      <c r="B654" s="18" t="s">
        <v>592</v>
      </c>
      <c r="C654" s="14" t="s">
        <v>331</v>
      </c>
      <c r="D654" s="15">
        <v>6</v>
      </c>
      <c r="E654" s="15"/>
      <c r="F654" s="15" t="s">
        <v>61</v>
      </c>
      <c r="G654" s="15">
        <v>9630</v>
      </c>
      <c r="H654" s="15" t="s">
        <v>170</v>
      </c>
      <c r="I654" s="16">
        <v>18529</v>
      </c>
      <c r="J654" s="15">
        <v>2</v>
      </c>
      <c r="K654" s="17" t="s">
        <v>332</v>
      </c>
      <c r="L654" s="1" t="str">
        <f>"3K1IZGXEVCTAR8P6N4L2"</f>
        <v>3K1IZGXEVCTAR8P6N4L2</v>
      </c>
      <c r="M654" s="2" t="str">
        <f>"GXEVCTAR8P6N4L2"</f>
        <v>GXEVCTAR8P6N4L2</v>
      </c>
      <c r="N654" s="1" t="s">
        <v>64</v>
      </c>
      <c r="O654" s="1">
        <v>7418</v>
      </c>
    </row>
    <row r="655" spans="1:15" x14ac:dyDescent="0.35">
      <c r="A655" s="18">
        <v>85296</v>
      </c>
      <c r="B655" s="18" t="s">
        <v>592</v>
      </c>
      <c r="C655" s="14" t="s">
        <v>333</v>
      </c>
      <c r="D655" s="15">
        <v>1</v>
      </c>
      <c r="E655" s="15"/>
      <c r="F655" s="15" t="s">
        <v>61</v>
      </c>
      <c r="G655" s="15">
        <v>4185</v>
      </c>
      <c r="H655" s="15" t="s">
        <v>170</v>
      </c>
      <c r="I655" s="16">
        <v>63074</v>
      </c>
      <c r="J655" s="15">
        <v>7</v>
      </c>
      <c r="K655" s="17" t="s">
        <v>334</v>
      </c>
      <c r="L655" s="1" t="str">
        <f>"IZGXEVCTAR8P6N4L2J0H"</f>
        <v>IZGXEVCTAR8P6N4L2J0H</v>
      </c>
      <c r="M655" s="2" t="str">
        <f>"VCTAR8P6N4L2J0HYF"</f>
        <v>VCTAR8P6N4L2J0HYF</v>
      </c>
      <c r="N655" s="1" t="s">
        <v>64</v>
      </c>
      <c r="O655" s="1">
        <v>2963</v>
      </c>
    </row>
    <row r="656" spans="1:15" x14ac:dyDescent="0.35">
      <c r="A656" s="18">
        <v>30741</v>
      </c>
      <c r="B656" s="18" t="s">
        <v>592</v>
      </c>
      <c r="C656" s="14" t="s">
        <v>335</v>
      </c>
      <c r="D656" s="15">
        <v>6</v>
      </c>
      <c r="E656" s="15"/>
      <c r="F656" s="15" t="s">
        <v>61</v>
      </c>
      <c r="G656" s="15">
        <v>9630</v>
      </c>
      <c r="H656" s="15" t="s">
        <v>68</v>
      </c>
      <c r="I656" s="16">
        <v>18529</v>
      </c>
      <c r="J656" s="15">
        <v>2</v>
      </c>
      <c r="K656" s="17" t="s">
        <v>336</v>
      </c>
      <c r="M656" s="2" t="str">
        <f>"XEVC"</f>
        <v/>
      </c>
    </row>
    <row r="657" spans="1:15" x14ac:dyDescent="0.35">
      <c r="A657" s="18">
        <v>52963</v>
      </c>
      <c r="B657" s="18" t="s">
        <v>592</v>
      </c>
      <c r="C657" s="14" t="s">
        <v>337</v>
      </c>
      <c r="D657" s="15">
        <v>8</v>
      </c>
      <c r="E657" s="15"/>
      <c r="F657" s="15" t="s">
        <v>61</v>
      </c>
      <c r="G657" s="15">
        <v>1852</v>
      </c>
      <c r="H657" s="15" t="s">
        <v>170</v>
      </c>
      <c r="I657" s="16">
        <v>30741</v>
      </c>
      <c r="J657" s="15">
        <v>4</v>
      </c>
      <c r="K657" s="17" t="s">
        <v>338</v>
      </c>
      <c r="L657" s="1" t="str">
        <f>"9Q7O5M3K1IZGXEVCTAR8"</f>
        <v>9Q7O5M3K1IZGXEVCTAR8</v>
      </c>
      <c r="M657" s="2" t="str">
        <f>"M3K1IZGXEVCTAR8P6"</f>
        <v>M3K1IZGXEVCTAR8P6</v>
      </c>
      <c r="N657" s="1" t="s">
        <v>64</v>
      </c>
      <c r="O657" s="1">
        <v>9630</v>
      </c>
    </row>
    <row r="658" spans="1:15" x14ac:dyDescent="0.35">
      <c r="A658" s="18">
        <v>17418</v>
      </c>
      <c r="B658" s="18" t="s">
        <v>592</v>
      </c>
      <c r="C658" s="14" t="s">
        <v>339</v>
      </c>
      <c r="D658" s="15">
        <v>3</v>
      </c>
      <c r="E658" s="15"/>
      <c r="F658" s="15" t="s">
        <v>61</v>
      </c>
      <c r="G658" s="15">
        <v>6307</v>
      </c>
      <c r="H658" s="15" t="s">
        <v>170</v>
      </c>
      <c r="I658" s="16">
        <v>85296</v>
      </c>
      <c r="J658" s="15">
        <v>9</v>
      </c>
      <c r="K658" s="17" t="s">
        <v>340</v>
      </c>
      <c r="L658" s="1" t="str">
        <f>"O5M3K1IZGXEVCTAR8P6N"</f>
        <v>O5M3K1IZGXEVCTAR8P6N</v>
      </c>
      <c r="M658" s="2" t="str">
        <f>"1IZGXEVCTAR8P6N4L"</f>
        <v>1IZGXEVCTAR8P6N4L</v>
      </c>
      <c r="N658" s="1" t="s">
        <v>64</v>
      </c>
      <c r="O658" s="1">
        <v>4185</v>
      </c>
    </row>
    <row r="659" spans="1:15" x14ac:dyDescent="0.35">
      <c r="A659" s="18">
        <v>52963</v>
      </c>
      <c r="B659" s="18" t="s">
        <v>592</v>
      </c>
      <c r="C659" s="14" t="s">
        <v>341</v>
      </c>
      <c r="D659" s="15">
        <v>8</v>
      </c>
      <c r="E659" s="15"/>
      <c r="F659" s="15" t="s">
        <v>61</v>
      </c>
      <c r="G659" s="15">
        <v>1852</v>
      </c>
      <c r="H659" s="15" t="s">
        <v>68</v>
      </c>
      <c r="I659" s="16">
        <v>30741</v>
      </c>
      <c r="J659" s="15">
        <v>4</v>
      </c>
      <c r="K659" s="17" t="s">
        <v>342</v>
      </c>
      <c r="M659" s="2" t="str">
        <f>"3K1I"</f>
        <v/>
      </c>
    </row>
    <row r="660" spans="1:15" x14ac:dyDescent="0.35">
      <c r="A660" s="18">
        <v>74185</v>
      </c>
      <c r="B660" s="18" t="s">
        <v>592</v>
      </c>
      <c r="C660" s="14" t="s">
        <v>343</v>
      </c>
      <c r="D660" s="15">
        <v>1</v>
      </c>
      <c r="E660" s="15"/>
      <c r="F660" s="15" t="s">
        <v>61</v>
      </c>
      <c r="G660" s="15">
        <v>3074</v>
      </c>
      <c r="H660" s="15" t="s">
        <v>170</v>
      </c>
      <c r="I660" s="16">
        <v>52963</v>
      </c>
      <c r="J660" s="15">
        <v>6</v>
      </c>
      <c r="K660" s="17" t="s">
        <v>344</v>
      </c>
      <c r="L660" s="1" t="str">
        <f>"FWDUBS9Q7O5M3K1IZGXE"</f>
        <v>FWDUBS9Q7O5M3K1IZGXE</v>
      </c>
      <c r="M660" s="2" t="str">
        <f>"S9Q7O5M3K1IZGXEVC"</f>
        <v>S9Q7O5M3K1IZGXEVC</v>
      </c>
      <c r="N660" s="1" t="s">
        <v>64</v>
      </c>
      <c r="O660" s="1">
        <v>1852</v>
      </c>
    </row>
    <row r="661" spans="1:15" x14ac:dyDescent="0.35">
      <c r="A661" s="18">
        <v>29630</v>
      </c>
      <c r="B661" s="18" t="s">
        <v>592</v>
      </c>
      <c r="C661" s="14" t="s">
        <v>345</v>
      </c>
      <c r="D661" s="15">
        <v>5</v>
      </c>
      <c r="E661" s="15"/>
      <c r="F661" s="15" t="s">
        <v>61</v>
      </c>
      <c r="G661" s="15">
        <v>8529</v>
      </c>
      <c r="H661" s="15" t="s">
        <v>68</v>
      </c>
      <c r="I661" s="16">
        <v>17418</v>
      </c>
      <c r="J661" s="15">
        <v>1</v>
      </c>
      <c r="K661" s="17" t="s">
        <v>346</v>
      </c>
      <c r="M661" s="2" t="str">
        <f>"UBS9"</f>
        <v/>
      </c>
    </row>
    <row r="662" spans="1:15" x14ac:dyDescent="0.35">
      <c r="A662" s="18">
        <v>41852</v>
      </c>
      <c r="B662" s="18" t="s">
        <v>592</v>
      </c>
      <c r="C662" s="14" t="s">
        <v>347</v>
      </c>
      <c r="D662" s="15">
        <v>7</v>
      </c>
      <c r="E662" s="15"/>
      <c r="F662" s="15" t="s">
        <v>61</v>
      </c>
      <c r="G662" s="15">
        <v>1741</v>
      </c>
      <c r="H662" s="15" t="s">
        <v>170</v>
      </c>
      <c r="I662" s="16">
        <v>29630</v>
      </c>
      <c r="J662" s="15">
        <v>3</v>
      </c>
      <c r="K662" s="17" t="s">
        <v>348</v>
      </c>
      <c r="L662" s="1" t="str">
        <f>"6N4L2J0HYFWDUBS9Q7O5"</f>
        <v>6N4L2J0HYFWDUBS9Q7O5</v>
      </c>
      <c r="M662" s="2" t="str">
        <f>"J0HYFWDUBS9Q7O5M3"</f>
        <v>J0HYFWDUBS9Q7O5M3</v>
      </c>
      <c r="N662" s="1" t="s">
        <v>64</v>
      </c>
      <c r="O662" s="1">
        <v>8529</v>
      </c>
    </row>
    <row r="663" spans="1:15" x14ac:dyDescent="0.35">
      <c r="A663" s="18">
        <v>96307</v>
      </c>
      <c r="B663" s="18" t="s">
        <v>592</v>
      </c>
      <c r="C663" s="14" t="s">
        <v>349</v>
      </c>
      <c r="D663" s="15">
        <v>2</v>
      </c>
      <c r="E663" s="15"/>
      <c r="F663" s="15" t="s">
        <v>61</v>
      </c>
      <c r="G663" s="15">
        <v>5296</v>
      </c>
      <c r="H663" s="15" t="s">
        <v>170</v>
      </c>
      <c r="I663" s="16">
        <v>74185</v>
      </c>
      <c r="J663" s="15">
        <v>8</v>
      </c>
      <c r="K663" s="17" t="s">
        <v>350</v>
      </c>
      <c r="L663" s="1" t="str">
        <f>"L2J0HYFWDUBS9Q7O5M3K"</f>
        <v>L2J0HYFWDUBS9Q7O5M3K</v>
      </c>
      <c r="M663" s="2" t="str">
        <f>"YFWDUBS9Q7O5M3K1"</f>
        <v>YFWDUBS9Q7O5M3K1</v>
      </c>
      <c r="N663" s="1" t="s">
        <v>64</v>
      </c>
      <c r="O663" s="1">
        <v>3074</v>
      </c>
    </row>
    <row r="664" spans="1:15" x14ac:dyDescent="0.35">
      <c r="A664" s="18">
        <v>41852</v>
      </c>
      <c r="B664" s="18" t="s">
        <v>592</v>
      </c>
      <c r="C664" s="14" t="s">
        <v>351</v>
      </c>
      <c r="D664" s="15">
        <v>7</v>
      </c>
      <c r="E664" s="15"/>
      <c r="F664" s="15" t="s">
        <v>61</v>
      </c>
      <c r="G664" s="15">
        <v>1741</v>
      </c>
      <c r="H664" s="15" t="s">
        <v>170</v>
      </c>
      <c r="I664" s="16">
        <v>29630</v>
      </c>
      <c r="J664" s="15">
        <v>3</v>
      </c>
      <c r="K664" s="17" t="s">
        <v>352</v>
      </c>
      <c r="L664" s="1" t="str">
        <f>"0HYFWDUBS9Q7O5M3K1IZ"</f>
        <v>0HYFWDUBS9Q7O5M3K1IZ</v>
      </c>
      <c r="M664" s="2" t="str">
        <f>"DUBS9Q7O5M3K1IZGX"</f>
        <v>DUBS9Q7O5M3K1IZGX</v>
      </c>
      <c r="N664" s="1" t="s">
        <v>64</v>
      </c>
      <c r="O664" s="1">
        <v>8529</v>
      </c>
    </row>
    <row r="665" spans="1:15" x14ac:dyDescent="0.35">
      <c r="A665" s="18">
        <v>96307</v>
      </c>
      <c r="B665" s="18" t="s">
        <v>592</v>
      </c>
      <c r="C665" s="14" t="s">
        <v>353</v>
      </c>
      <c r="D665" s="15">
        <v>2</v>
      </c>
      <c r="E665" s="15"/>
      <c r="F665" s="15" t="s">
        <v>61</v>
      </c>
      <c r="G665" s="15">
        <v>5296</v>
      </c>
      <c r="H665" s="15" t="s">
        <v>68</v>
      </c>
      <c r="I665" s="16">
        <v>74185</v>
      </c>
      <c r="J665" s="15">
        <v>8</v>
      </c>
      <c r="K665" s="17" t="s">
        <v>354</v>
      </c>
      <c r="M665" s="2" t="str">
        <f>"FWDU"</f>
        <v/>
      </c>
    </row>
    <row r="666" spans="1:15" x14ac:dyDescent="0.35">
      <c r="A666" s="18">
        <v>18529</v>
      </c>
      <c r="B666" s="18" t="s">
        <v>592</v>
      </c>
      <c r="C666" s="14" t="s">
        <v>355</v>
      </c>
      <c r="D666" s="15">
        <v>4</v>
      </c>
      <c r="E666" s="15"/>
      <c r="F666" s="15" t="s">
        <v>61</v>
      </c>
      <c r="G666" s="15">
        <v>7418</v>
      </c>
      <c r="H666" s="15" t="s">
        <v>68</v>
      </c>
      <c r="I666" s="16">
        <v>96307</v>
      </c>
      <c r="J666" s="15">
        <v>1</v>
      </c>
      <c r="K666" s="17" t="s">
        <v>356</v>
      </c>
      <c r="M666" s="2" t="str">
        <f>"R8P6"</f>
        <v/>
      </c>
    </row>
    <row r="667" spans="1:15" x14ac:dyDescent="0.35">
      <c r="A667" s="18">
        <v>30741</v>
      </c>
      <c r="B667" s="18" t="s">
        <v>592</v>
      </c>
      <c r="C667" s="14" t="s">
        <v>357</v>
      </c>
      <c r="D667" s="15">
        <v>6</v>
      </c>
      <c r="E667" s="15"/>
      <c r="F667" s="15" t="s">
        <v>61</v>
      </c>
      <c r="G667" s="15">
        <v>9630</v>
      </c>
      <c r="H667" s="15" t="s">
        <v>358</v>
      </c>
      <c r="I667" s="16">
        <v>18529</v>
      </c>
      <c r="J667" s="15">
        <v>2</v>
      </c>
      <c r="K667" s="17" t="s">
        <v>359</v>
      </c>
      <c r="L667" s="1" t="str">
        <f>"3K1IZGXEVCTAR8P6N"</f>
        <v>3K1IZGXEVCTAR8P6N</v>
      </c>
      <c r="M667" s="2" t="str">
        <f>"GXEVCTAR8"</f>
        <v>GXEVCTAR8</v>
      </c>
      <c r="N667" s="1" t="s">
        <v>102</v>
      </c>
      <c r="O667" s="1">
        <v>74</v>
      </c>
    </row>
    <row r="668" spans="1:15" x14ac:dyDescent="0.35">
      <c r="A668" s="18">
        <v>85296</v>
      </c>
      <c r="B668" s="18" t="s">
        <v>592</v>
      </c>
      <c r="C668" s="14" t="s">
        <v>360</v>
      </c>
      <c r="D668" s="15">
        <v>1</v>
      </c>
      <c r="E668" s="15"/>
      <c r="F668" s="15" t="s">
        <v>61</v>
      </c>
      <c r="G668" s="15">
        <v>4185</v>
      </c>
      <c r="H668" s="15" t="s">
        <v>68</v>
      </c>
      <c r="I668" s="16">
        <v>63074</v>
      </c>
      <c r="J668" s="15">
        <v>7</v>
      </c>
      <c r="K668" s="17" t="s">
        <v>361</v>
      </c>
      <c r="M668" s="2" t="str">
        <f>"IZGX"</f>
        <v/>
      </c>
    </row>
    <row r="669" spans="1:15" x14ac:dyDescent="0.35">
      <c r="A669" s="18">
        <v>17418</v>
      </c>
      <c r="B669" s="18" t="s">
        <v>592</v>
      </c>
      <c r="C669" s="14" t="s">
        <v>362</v>
      </c>
      <c r="D669" s="15">
        <v>3</v>
      </c>
      <c r="E669" s="15"/>
      <c r="F669" s="15" t="s">
        <v>61</v>
      </c>
      <c r="G669" s="15">
        <v>6307</v>
      </c>
      <c r="H669" s="15" t="s">
        <v>358</v>
      </c>
      <c r="I669" s="16">
        <v>85296</v>
      </c>
      <c r="J669" s="15">
        <v>9</v>
      </c>
      <c r="K669" s="17" t="s">
        <v>363</v>
      </c>
      <c r="L669" s="1" t="str">
        <f>"UBS9Q7O5M3K1IZGXEVCT"</f>
        <v>UBS9Q7O5M3K1IZGXEVCT</v>
      </c>
      <c r="M669" s="2" t="str">
        <f>"7O5M3K1IZGXEVCTA"</f>
        <v>7O5M3K1IZGXEVCTA</v>
      </c>
      <c r="N669" s="1" t="s">
        <v>64</v>
      </c>
      <c r="O669" s="1">
        <v>4185</v>
      </c>
    </row>
    <row r="670" spans="1:15" x14ac:dyDescent="0.35">
      <c r="A670" s="18">
        <v>52963</v>
      </c>
      <c r="B670" s="18" t="s">
        <v>592</v>
      </c>
      <c r="C670" s="14" t="s">
        <v>364</v>
      </c>
      <c r="D670" s="15">
        <v>8</v>
      </c>
      <c r="E670" s="15"/>
      <c r="F670" s="15" t="s">
        <v>61</v>
      </c>
      <c r="G670" s="15">
        <v>1852</v>
      </c>
      <c r="H670" s="15" t="s">
        <v>68</v>
      </c>
      <c r="I670" s="16">
        <v>30741</v>
      </c>
      <c r="J670" s="15">
        <v>4</v>
      </c>
      <c r="K670" s="17" t="s">
        <v>365</v>
      </c>
      <c r="M670" s="2" t="str">
        <f>"9Q7O"</f>
        <v/>
      </c>
    </row>
    <row r="671" spans="1:15" x14ac:dyDescent="0.35">
      <c r="A671" s="18">
        <v>74185</v>
      </c>
      <c r="B671" s="18" t="s">
        <v>592</v>
      </c>
      <c r="C671" s="14" t="s">
        <v>366</v>
      </c>
      <c r="D671" s="15">
        <v>1</v>
      </c>
      <c r="E671" s="15"/>
      <c r="F671" s="15" t="s">
        <v>61</v>
      </c>
      <c r="G671" s="15">
        <v>3074</v>
      </c>
      <c r="H671" s="15" t="s">
        <v>358</v>
      </c>
      <c r="I671" s="16">
        <v>52963</v>
      </c>
      <c r="J671" s="15">
        <v>6</v>
      </c>
      <c r="K671" s="17" t="s">
        <v>367</v>
      </c>
      <c r="L671" s="1" t="str">
        <f>"L2J0HYFWDUBS9Q7O5M3K"</f>
        <v>L2J0HYFWDUBS9Q7O5M3K</v>
      </c>
      <c r="M671" s="2" t="str">
        <f>"YFWDUBS9Q7O5M3K1I"</f>
        <v>YFWDUBS9Q7O5M3K1I</v>
      </c>
      <c r="N671" s="1" t="s">
        <v>64</v>
      </c>
      <c r="O671" s="1">
        <v>1852</v>
      </c>
    </row>
    <row r="672" spans="1:15" x14ac:dyDescent="0.35">
      <c r="A672" s="18">
        <v>29630</v>
      </c>
      <c r="B672" s="18" t="s">
        <v>592</v>
      </c>
      <c r="C672" s="14" t="s">
        <v>368</v>
      </c>
      <c r="D672" s="15">
        <v>5</v>
      </c>
      <c r="E672" s="15"/>
      <c r="F672" s="15" t="s">
        <v>61</v>
      </c>
      <c r="G672" s="15">
        <v>8529</v>
      </c>
      <c r="H672" s="15" t="s">
        <v>358</v>
      </c>
      <c r="I672" s="16">
        <v>17418</v>
      </c>
      <c r="J672" s="15">
        <v>1</v>
      </c>
      <c r="K672" s="17" t="s">
        <v>369</v>
      </c>
      <c r="L672" s="1" t="str">
        <f>"0HYFWDUBS9Q7O5M3K1IZ"</f>
        <v>0HYFWDUBS9Q7O5M3K1IZ</v>
      </c>
      <c r="M672" s="2" t="str">
        <f>"DUBS9Q7O5M3K1IZGX"</f>
        <v>DUBS9Q7O5M3K1IZGX</v>
      </c>
      <c r="N672" s="1" t="s">
        <v>64</v>
      </c>
      <c r="O672" s="1">
        <v>6307</v>
      </c>
    </row>
    <row r="673" spans="1:15" x14ac:dyDescent="0.35">
      <c r="A673" s="18">
        <v>74185</v>
      </c>
      <c r="B673" s="18" t="s">
        <v>592</v>
      </c>
      <c r="C673" s="14" t="s">
        <v>370</v>
      </c>
      <c r="D673" s="15">
        <v>1</v>
      </c>
      <c r="E673" s="15"/>
      <c r="F673" s="15" t="s">
        <v>61</v>
      </c>
      <c r="G673" s="15">
        <v>3074</v>
      </c>
      <c r="H673" s="15" t="s">
        <v>68</v>
      </c>
      <c r="I673" s="16">
        <v>52963</v>
      </c>
      <c r="J673" s="15">
        <v>6</v>
      </c>
      <c r="K673" s="17" t="s">
        <v>371</v>
      </c>
      <c r="M673" s="2" t="str">
        <f>"FWDU"</f>
        <v/>
      </c>
    </row>
    <row r="674" spans="1:15" x14ac:dyDescent="0.35">
      <c r="A674" s="18">
        <v>96307</v>
      </c>
      <c r="B674" s="18" t="s">
        <v>592</v>
      </c>
      <c r="C674" s="14" t="s">
        <v>372</v>
      </c>
      <c r="D674" s="15">
        <v>2</v>
      </c>
      <c r="E674" s="15"/>
      <c r="F674" s="15" t="s">
        <v>61</v>
      </c>
      <c r="G674" s="15">
        <v>5296</v>
      </c>
      <c r="H674" s="15" t="s">
        <v>358</v>
      </c>
      <c r="I674" s="16">
        <v>74185</v>
      </c>
      <c r="J674" s="15">
        <v>8</v>
      </c>
      <c r="K674" s="17" t="s">
        <v>373</v>
      </c>
      <c r="L674" s="1" t="str">
        <f>"R8P6N4L2J0HYFWDUBS9Q"</f>
        <v>R8P6N4L2J0HYFWDUBS9Q</v>
      </c>
      <c r="M674" s="2" t="str">
        <f>"4L2J0HYFWDUBS9Q7O"</f>
        <v>4L2J0HYFWDUBS9Q7O</v>
      </c>
      <c r="N674" s="1" t="s">
        <v>64</v>
      </c>
      <c r="O674" s="1">
        <v>3074</v>
      </c>
    </row>
    <row r="675" spans="1:15" x14ac:dyDescent="0.35">
      <c r="A675" s="18">
        <v>41852</v>
      </c>
      <c r="B675" s="18" t="s">
        <v>592</v>
      </c>
      <c r="C675" s="14" t="s">
        <v>374</v>
      </c>
      <c r="D675" s="15">
        <v>7</v>
      </c>
      <c r="E675" s="15"/>
      <c r="F675" s="15" t="s">
        <v>61</v>
      </c>
      <c r="G675" s="15">
        <v>1741</v>
      </c>
      <c r="H675" s="15" t="s">
        <v>68</v>
      </c>
      <c r="I675" s="16">
        <v>29630</v>
      </c>
      <c r="J675" s="15">
        <v>3</v>
      </c>
      <c r="K675" s="17" t="s">
        <v>375</v>
      </c>
      <c r="M675" s="2" t="str">
        <f>"6N4L"</f>
        <v/>
      </c>
    </row>
    <row r="676" spans="1:15" x14ac:dyDescent="0.35">
      <c r="A676" s="18">
        <v>63074</v>
      </c>
      <c r="B676" s="18" t="s">
        <v>592</v>
      </c>
      <c r="C676" s="14" t="s">
        <v>376</v>
      </c>
      <c r="D676" s="15">
        <v>9</v>
      </c>
      <c r="E676" s="15"/>
      <c r="F676" s="15" t="s">
        <v>61</v>
      </c>
      <c r="G676" s="15">
        <v>2963</v>
      </c>
      <c r="H676" s="15" t="s">
        <v>358</v>
      </c>
      <c r="I676" s="16">
        <v>41852</v>
      </c>
      <c r="J676" s="15">
        <v>5</v>
      </c>
      <c r="K676" s="17" t="s">
        <v>377</v>
      </c>
      <c r="L676" s="1" t="str">
        <f>"IZGXEVCTAR8P6N4L2J0H"</f>
        <v>IZGXEVCTAR8P6N4L2J0H</v>
      </c>
      <c r="M676" s="2" t="str">
        <f>"VCTAR8P6N4L2J0HYF"</f>
        <v>VCTAR8P6N4L2J0HYF</v>
      </c>
      <c r="N676" s="1" t="s">
        <v>64</v>
      </c>
      <c r="O676" s="1">
        <v>1741</v>
      </c>
    </row>
    <row r="677" spans="1:15" x14ac:dyDescent="0.35">
      <c r="A677" s="18">
        <v>18529</v>
      </c>
      <c r="B677" s="18" t="s">
        <v>592</v>
      </c>
      <c r="C677" s="14" t="s">
        <v>378</v>
      </c>
      <c r="D677" s="15">
        <v>4</v>
      </c>
      <c r="E677" s="15"/>
      <c r="F677" s="15" t="s">
        <v>61</v>
      </c>
      <c r="G677" s="15">
        <v>7418</v>
      </c>
      <c r="H677" s="15" t="s">
        <v>170</v>
      </c>
      <c r="I677" s="16">
        <v>96307</v>
      </c>
      <c r="J677" s="15">
        <v>1</v>
      </c>
      <c r="K677" s="17" t="s">
        <v>379</v>
      </c>
      <c r="L677" s="1" t="str">
        <f>"XEVCTAR8P6N4L2J0HYFW"</f>
        <v>XEVCTAR8P6N4L2J0HYFW</v>
      </c>
      <c r="M677" s="2" t="str">
        <f>"AR8P6N4L2J0HYFWDU"</f>
        <v>AR8P6N4L2J0HYFWDU</v>
      </c>
      <c r="N677" s="1" t="s">
        <v>64</v>
      </c>
      <c r="O677" s="1">
        <v>5296</v>
      </c>
    </row>
    <row r="678" spans="1:15" x14ac:dyDescent="0.35">
      <c r="A678" s="18">
        <v>63074</v>
      </c>
      <c r="B678" s="18" t="s">
        <v>592</v>
      </c>
      <c r="C678" s="14" t="s">
        <v>380</v>
      </c>
      <c r="D678" s="15">
        <v>9</v>
      </c>
      <c r="E678" s="15"/>
      <c r="F678" s="15" t="s">
        <v>61</v>
      </c>
      <c r="G678" s="15">
        <v>2963</v>
      </c>
      <c r="H678" s="15" t="s">
        <v>68</v>
      </c>
      <c r="I678" s="16">
        <v>41852</v>
      </c>
      <c r="J678" s="15">
        <v>5</v>
      </c>
      <c r="K678" s="17" t="s">
        <v>381</v>
      </c>
      <c r="M678" s="2" t="str">
        <f>"CTAR"</f>
        <v/>
      </c>
    </row>
    <row r="679" spans="1:15" x14ac:dyDescent="0.35">
      <c r="A679" s="18">
        <v>85296</v>
      </c>
      <c r="B679" s="18" t="s">
        <v>592</v>
      </c>
      <c r="C679" s="14" t="s">
        <v>382</v>
      </c>
      <c r="D679" s="15">
        <v>1</v>
      </c>
      <c r="E679" s="15"/>
      <c r="F679" s="15" t="s">
        <v>61</v>
      </c>
      <c r="G679" s="15">
        <v>4185</v>
      </c>
      <c r="H679" s="15" t="s">
        <v>170</v>
      </c>
      <c r="I679" s="16">
        <v>63074</v>
      </c>
      <c r="J679" s="15">
        <v>7</v>
      </c>
      <c r="K679" s="17" t="s">
        <v>383</v>
      </c>
      <c r="L679" s="1" t="str">
        <f>"O5M3K1IZGXEVCTAR8P6N4L"</f>
        <v>O5M3K1IZGXEVCTAR8P6N4L</v>
      </c>
      <c r="M679" s="1" t="s">
        <v>384</v>
      </c>
      <c r="N679" s="1" t="s">
        <v>64</v>
      </c>
      <c r="O679" s="1">
        <v>296307</v>
      </c>
    </row>
    <row r="680" spans="1:15" x14ac:dyDescent="0.35">
      <c r="A680" s="18">
        <v>30741</v>
      </c>
      <c r="B680" s="18" t="s">
        <v>592</v>
      </c>
      <c r="C680" s="14" t="s">
        <v>385</v>
      </c>
      <c r="D680" s="15">
        <v>6</v>
      </c>
      <c r="E680" s="15"/>
      <c r="F680" s="15" t="s">
        <v>61</v>
      </c>
      <c r="G680" s="15">
        <v>9630</v>
      </c>
      <c r="H680" s="15" t="s">
        <v>68</v>
      </c>
      <c r="I680" s="16">
        <v>18529</v>
      </c>
      <c r="J680" s="15">
        <v>2</v>
      </c>
      <c r="K680" s="17" t="s">
        <v>386</v>
      </c>
      <c r="M680" s="2" t="str">
        <f>"3K1I"</f>
        <v/>
      </c>
    </row>
    <row r="681" spans="1:15" x14ac:dyDescent="0.35">
      <c r="A681" s="18">
        <v>52963</v>
      </c>
      <c r="B681" s="18" t="s">
        <v>592</v>
      </c>
      <c r="C681" s="14" t="s">
        <v>387</v>
      </c>
      <c r="D681" s="15">
        <v>8</v>
      </c>
      <c r="E681" s="15"/>
      <c r="F681" s="15" t="s">
        <v>61</v>
      </c>
      <c r="G681" s="15">
        <v>1852</v>
      </c>
      <c r="H681" s="15" t="s">
        <v>68</v>
      </c>
      <c r="I681" s="16">
        <v>30741</v>
      </c>
      <c r="J681" s="15">
        <v>4</v>
      </c>
      <c r="K681" s="17" t="s">
        <v>388</v>
      </c>
      <c r="M681" s="2" t="str">
        <f>"FWDU"</f>
        <v/>
      </c>
    </row>
    <row r="682" spans="1:15" x14ac:dyDescent="0.35">
      <c r="A682" s="18">
        <v>74185</v>
      </c>
      <c r="B682" s="18" t="s">
        <v>592</v>
      </c>
      <c r="C682" s="14" t="s">
        <v>389</v>
      </c>
      <c r="D682" s="15">
        <v>1</v>
      </c>
      <c r="E682" s="15"/>
      <c r="F682" s="15" t="s">
        <v>61</v>
      </c>
      <c r="G682" s="15">
        <v>3074</v>
      </c>
      <c r="H682" s="15" t="s">
        <v>68</v>
      </c>
      <c r="I682" s="16">
        <v>52963</v>
      </c>
      <c r="J682" s="15">
        <v>6</v>
      </c>
      <c r="K682" s="17" t="s">
        <v>390</v>
      </c>
      <c r="M682" s="2" t="str">
        <f>"R8P6"</f>
        <v/>
      </c>
    </row>
    <row r="683" spans="1:15" x14ac:dyDescent="0.35">
      <c r="A683" s="18">
        <v>96307</v>
      </c>
      <c r="B683" s="18" t="s">
        <v>592</v>
      </c>
      <c r="C683" s="14" t="s">
        <v>391</v>
      </c>
      <c r="D683" s="15">
        <v>2</v>
      </c>
      <c r="E683" s="15"/>
      <c r="F683" s="15" t="s">
        <v>61</v>
      </c>
      <c r="G683" s="15">
        <v>5296</v>
      </c>
      <c r="H683" s="15" t="s">
        <v>68</v>
      </c>
      <c r="I683" s="16">
        <v>74185</v>
      </c>
      <c r="J683" s="15">
        <v>8</v>
      </c>
      <c r="K683" s="17" t="s">
        <v>392</v>
      </c>
      <c r="M683" s="2" t="str">
        <f>"3K1I"</f>
        <v/>
      </c>
    </row>
    <row r="684" spans="1:15" x14ac:dyDescent="0.35">
      <c r="A684" s="18">
        <v>18529</v>
      </c>
      <c r="B684" s="18" t="s">
        <v>592</v>
      </c>
      <c r="C684" s="14" t="s">
        <v>393</v>
      </c>
      <c r="D684" s="15">
        <v>4</v>
      </c>
      <c r="E684" s="15"/>
      <c r="F684" s="15" t="s">
        <v>61</v>
      </c>
      <c r="G684" s="15">
        <v>7418</v>
      </c>
      <c r="H684" s="15" t="s">
        <v>68</v>
      </c>
      <c r="I684" s="16">
        <v>96307</v>
      </c>
      <c r="J684" s="15">
        <v>1</v>
      </c>
      <c r="K684" s="17" t="s">
        <v>394</v>
      </c>
      <c r="M684" s="2" t="str">
        <f>"FWDU"</f>
        <v/>
      </c>
    </row>
    <row r="685" spans="1:15" x14ac:dyDescent="0.35">
      <c r="A685" s="18">
        <v>30741</v>
      </c>
      <c r="B685" s="18" t="s">
        <v>592</v>
      </c>
      <c r="C685" s="14" t="s">
        <v>395</v>
      </c>
      <c r="D685" s="15">
        <v>6</v>
      </c>
      <c r="E685" s="15"/>
      <c r="F685" s="15" t="s">
        <v>61</v>
      </c>
      <c r="G685" s="15">
        <v>9630</v>
      </c>
      <c r="H685" s="15" t="s">
        <v>68</v>
      </c>
      <c r="I685" s="16">
        <v>18529</v>
      </c>
      <c r="J685" s="15">
        <v>2</v>
      </c>
      <c r="K685" s="17" t="s">
        <v>396</v>
      </c>
      <c r="M685" s="2" t="str">
        <f>"R8P6"</f>
        <v/>
      </c>
    </row>
    <row r="686" spans="1:15" x14ac:dyDescent="0.35">
      <c r="A686" s="18">
        <v>52963</v>
      </c>
      <c r="B686" s="18" t="s">
        <v>592</v>
      </c>
      <c r="C686" s="14" t="s">
        <v>397</v>
      </c>
      <c r="D686" s="15">
        <v>8</v>
      </c>
      <c r="E686" s="15"/>
      <c r="F686" s="15" t="s">
        <v>61</v>
      </c>
      <c r="G686" s="15">
        <v>1852</v>
      </c>
      <c r="H686" s="15" t="s">
        <v>68</v>
      </c>
      <c r="I686" s="16">
        <v>30741</v>
      </c>
      <c r="J686" s="15">
        <v>4</v>
      </c>
      <c r="K686" s="17" t="s">
        <v>398</v>
      </c>
      <c r="M686" s="2" t="str">
        <f>"3K1I"</f>
        <v/>
      </c>
    </row>
    <row r="687" spans="1:15" x14ac:dyDescent="0.35">
      <c r="A687" s="18">
        <v>74185</v>
      </c>
      <c r="B687" s="18" t="s">
        <v>592</v>
      </c>
      <c r="C687" s="14" t="s">
        <v>399</v>
      </c>
      <c r="D687" s="15">
        <v>1</v>
      </c>
      <c r="E687" s="15"/>
      <c r="F687" s="15" t="s">
        <v>61</v>
      </c>
      <c r="G687" s="15">
        <v>3074</v>
      </c>
      <c r="H687" s="15" t="s">
        <v>68</v>
      </c>
      <c r="I687" s="16">
        <v>52963</v>
      </c>
      <c r="J687" s="15">
        <v>6</v>
      </c>
      <c r="K687" s="17" t="s">
        <v>400</v>
      </c>
      <c r="M687" s="2" t="str">
        <f>"FWDU"</f>
        <v/>
      </c>
    </row>
    <row r="688" spans="1:15" x14ac:dyDescent="0.35">
      <c r="A688" s="18">
        <v>96307</v>
      </c>
      <c r="B688" s="18" t="s">
        <v>592</v>
      </c>
      <c r="C688" s="14" t="s">
        <v>401</v>
      </c>
      <c r="D688" s="15">
        <v>2</v>
      </c>
      <c r="E688" s="15"/>
      <c r="F688" s="15" t="s">
        <v>61</v>
      </c>
      <c r="G688" s="15">
        <v>5296</v>
      </c>
      <c r="H688" s="15" t="s">
        <v>68</v>
      </c>
      <c r="I688" s="16">
        <v>74185</v>
      </c>
      <c r="J688" s="15">
        <v>8</v>
      </c>
      <c r="K688" s="17" t="s">
        <v>402</v>
      </c>
      <c r="M688" s="2" t="str">
        <f>"R8P6"</f>
        <v/>
      </c>
    </row>
    <row r="689" spans="1:13" x14ac:dyDescent="0.35">
      <c r="A689" s="18">
        <v>18529</v>
      </c>
      <c r="B689" s="18" t="s">
        <v>592</v>
      </c>
      <c r="C689" s="14" t="s">
        <v>403</v>
      </c>
      <c r="D689" s="15">
        <v>4</v>
      </c>
      <c r="E689" s="15"/>
      <c r="F689" s="15" t="s">
        <v>61</v>
      </c>
      <c r="G689" s="15">
        <v>7418</v>
      </c>
      <c r="H689" s="15" t="s">
        <v>68</v>
      </c>
      <c r="I689" s="16">
        <v>96307</v>
      </c>
      <c r="J689" s="15">
        <v>1</v>
      </c>
      <c r="K689" s="17" t="s">
        <v>404</v>
      </c>
      <c r="M689" s="2" t="str">
        <f>"3K1I"</f>
        <v/>
      </c>
    </row>
    <row r="690" spans="1:13" x14ac:dyDescent="0.35">
      <c r="A690" s="18">
        <v>30741</v>
      </c>
      <c r="B690" s="18" t="s">
        <v>592</v>
      </c>
      <c r="C690" s="14" t="s">
        <v>405</v>
      </c>
      <c r="D690" s="15">
        <v>6</v>
      </c>
      <c r="E690" s="15"/>
      <c r="F690" s="15" t="s">
        <v>61</v>
      </c>
      <c r="G690" s="15">
        <v>9630</v>
      </c>
      <c r="H690" s="15" t="s">
        <v>68</v>
      </c>
      <c r="I690" s="16">
        <v>18529</v>
      </c>
      <c r="J690" s="15">
        <v>2</v>
      </c>
      <c r="K690" s="17" t="s">
        <v>406</v>
      </c>
      <c r="M690" s="2" t="str">
        <f>"FWDU"</f>
        <v/>
      </c>
    </row>
    <row r="691" spans="1:13" x14ac:dyDescent="0.35">
      <c r="A691" s="18">
        <v>52963</v>
      </c>
      <c r="B691" s="18" t="s">
        <v>592</v>
      </c>
      <c r="C691" s="14" t="s">
        <v>407</v>
      </c>
      <c r="D691" s="15">
        <v>8</v>
      </c>
      <c r="E691" s="15"/>
      <c r="F691" s="15" t="s">
        <v>61</v>
      </c>
      <c r="G691" s="15">
        <v>1852</v>
      </c>
      <c r="H691" s="15" t="s">
        <v>68</v>
      </c>
      <c r="I691" s="16">
        <v>30741</v>
      </c>
      <c r="J691" s="15">
        <v>4</v>
      </c>
      <c r="K691" s="17" t="s">
        <v>408</v>
      </c>
      <c r="M691" s="2" t="str">
        <f>"R8P6"</f>
        <v/>
      </c>
    </row>
    <row r="692" spans="1:13" x14ac:dyDescent="0.35">
      <c r="A692" s="18">
        <v>74185</v>
      </c>
      <c r="B692" s="18" t="s">
        <v>592</v>
      </c>
      <c r="C692" s="14" t="s">
        <v>409</v>
      </c>
      <c r="D692" s="15">
        <v>1</v>
      </c>
      <c r="E692" s="15"/>
      <c r="F692" s="15" t="s">
        <v>61</v>
      </c>
      <c r="G692" s="15">
        <v>3074</v>
      </c>
      <c r="H692" s="15" t="s">
        <v>68</v>
      </c>
      <c r="I692" s="16">
        <v>52963</v>
      </c>
      <c r="J692" s="15">
        <v>6</v>
      </c>
      <c r="K692" s="17" t="s">
        <v>410</v>
      </c>
      <c r="M692" s="2" t="str">
        <f>"3K1I"</f>
        <v/>
      </c>
    </row>
    <row r="693" spans="1:13" x14ac:dyDescent="0.35">
      <c r="A693" s="18">
        <v>96307</v>
      </c>
      <c r="B693" s="18" t="s">
        <v>592</v>
      </c>
      <c r="C693" s="14" t="s">
        <v>411</v>
      </c>
      <c r="D693" s="15">
        <v>2</v>
      </c>
      <c r="E693" s="15"/>
      <c r="F693" s="15" t="s">
        <v>61</v>
      </c>
      <c r="G693" s="15">
        <v>5296</v>
      </c>
      <c r="H693" s="15" t="s">
        <v>68</v>
      </c>
      <c r="I693" s="16">
        <v>74185</v>
      </c>
      <c r="J693" s="15">
        <v>8</v>
      </c>
      <c r="K693" s="17" t="s">
        <v>412</v>
      </c>
      <c r="M693" s="2" t="str">
        <f>"FWDU"</f>
        <v/>
      </c>
    </row>
    <row r="694" spans="1:13" x14ac:dyDescent="0.35">
      <c r="A694" s="18">
        <v>18529</v>
      </c>
      <c r="B694" s="18" t="s">
        <v>592</v>
      </c>
      <c r="C694" s="14" t="s">
        <v>413</v>
      </c>
      <c r="D694" s="15">
        <v>4</v>
      </c>
      <c r="E694" s="15"/>
      <c r="F694" s="15" t="s">
        <v>61</v>
      </c>
      <c r="G694" s="15">
        <v>7418</v>
      </c>
      <c r="H694" s="15" t="s">
        <v>68</v>
      </c>
      <c r="I694" s="16">
        <v>96307</v>
      </c>
      <c r="J694" s="15">
        <v>1</v>
      </c>
      <c r="K694" s="17" t="s">
        <v>414</v>
      </c>
      <c r="M694" s="2" t="str">
        <f>"R8P6"</f>
        <v/>
      </c>
    </row>
    <row r="695" spans="1:13" x14ac:dyDescent="0.35">
      <c r="A695" s="18">
        <v>30741</v>
      </c>
      <c r="B695" s="18" t="s">
        <v>592</v>
      </c>
      <c r="C695" s="14" t="s">
        <v>415</v>
      </c>
      <c r="D695" s="15">
        <v>6</v>
      </c>
      <c r="E695" s="15"/>
      <c r="F695" s="15" t="s">
        <v>61</v>
      </c>
      <c r="G695" s="15">
        <v>9630</v>
      </c>
      <c r="H695" s="15" t="s">
        <v>68</v>
      </c>
      <c r="I695" s="16">
        <v>18529</v>
      </c>
      <c r="J695" s="15">
        <v>2</v>
      </c>
      <c r="K695" s="17" t="s">
        <v>416</v>
      </c>
      <c r="M695" s="2" t="str">
        <f>"3K1I"</f>
        <v/>
      </c>
    </row>
    <row r="696" spans="1:13" x14ac:dyDescent="0.35">
      <c r="A696" s="18">
        <v>52963</v>
      </c>
      <c r="B696" s="18" t="s">
        <v>592</v>
      </c>
      <c r="C696" s="14" t="s">
        <v>417</v>
      </c>
      <c r="D696" s="15">
        <v>8</v>
      </c>
      <c r="E696" s="15"/>
      <c r="F696" s="15" t="s">
        <v>61</v>
      </c>
      <c r="G696" s="15">
        <v>1852</v>
      </c>
      <c r="H696" s="15" t="s">
        <v>68</v>
      </c>
      <c r="I696" s="16">
        <v>30741</v>
      </c>
      <c r="J696" s="15">
        <v>4</v>
      </c>
      <c r="K696" s="17" t="s">
        <v>418</v>
      </c>
      <c r="M696" s="2" t="str">
        <f>"FWDU"</f>
        <v/>
      </c>
    </row>
    <row r="697" spans="1:13" x14ac:dyDescent="0.35">
      <c r="A697" s="18">
        <v>74185</v>
      </c>
      <c r="B697" s="18" t="s">
        <v>592</v>
      </c>
      <c r="C697" s="14" t="s">
        <v>419</v>
      </c>
      <c r="D697" s="15">
        <v>1</v>
      </c>
      <c r="E697" s="15"/>
      <c r="F697" s="15" t="s">
        <v>61</v>
      </c>
      <c r="G697" s="15">
        <v>3074</v>
      </c>
      <c r="H697" s="15" t="s">
        <v>68</v>
      </c>
      <c r="I697" s="16">
        <v>52963</v>
      </c>
      <c r="J697" s="15">
        <v>6</v>
      </c>
      <c r="K697" s="17" t="s">
        <v>420</v>
      </c>
      <c r="M697" s="2" t="str">
        <f>"R8P6"</f>
        <v/>
      </c>
    </row>
    <row r="698" spans="1:13" x14ac:dyDescent="0.35">
      <c r="A698" s="18">
        <v>96307</v>
      </c>
      <c r="B698" s="18" t="s">
        <v>592</v>
      </c>
      <c r="C698" s="14" t="s">
        <v>421</v>
      </c>
      <c r="D698" s="15">
        <v>2</v>
      </c>
      <c r="E698" s="15"/>
      <c r="F698" s="15" t="s">
        <v>61</v>
      </c>
      <c r="G698" s="15">
        <v>5296</v>
      </c>
      <c r="H698" s="15" t="s">
        <v>68</v>
      </c>
      <c r="I698" s="16">
        <v>74185</v>
      </c>
      <c r="J698" s="15">
        <v>8</v>
      </c>
      <c r="K698" s="17" t="s">
        <v>422</v>
      </c>
      <c r="M698" s="2" t="str">
        <f>"3K1I"</f>
        <v/>
      </c>
    </row>
    <row r="699" spans="1:13" x14ac:dyDescent="0.35">
      <c r="A699" s="18">
        <v>18529</v>
      </c>
      <c r="B699" s="18" t="s">
        <v>592</v>
      </c>
      <c r="C699" s="14" t="s">
        <v>423</v>
      </c>
      <c r="D699" s="15">
        <v>4</v>
      </c>
      <c r="E699" s="15"/>
      <c r="F699" s="15" t="s">
        <v>61</v>
      </c>
      <c r="G699" s="15">
        <v>7418</v>
      </c>
      <c r="H699" s="15" t="s">
        <v>68</v>
      </c>
      <c r="I699" s="16">
        <v>96307</v>
      </c>
      <c r="J699" s="15">
        <v>1</v>
      </c>
      <c r="K699" s="17" t="s">
        <v>424</v>
      </c>
      <c r="M699" s="2" t="str">
        <f>"FWDU"</f>
        <v/>
      </c>
    </row>
    <row r="700" spans="1:13" x14ac:dyDescent="0.35">
      <c r="A700" s="18">
        <v>30741</v>
      </c>
      <c r="B700" s="18" t="s">
        <v>592</v>
      </c>
      <c r="C700" s="14" t="s">
        <v>425</v>
      </c>
      <c r="D700" s="15">
        <v>6</v>
      </c>
      <c r="E700" s="15"/>
      <c r="F700" s="15" t="s">
        <v>61</v>
      </c>
      <c r="G700" s="15">
        <v>9630</v>
      </c>
      <c r="H700" s="15" t="s">
        <v>68</v>
      </c>
      <c r="I700" s="16">
        <v>18529</v>
      </c>
      <c r="J700" s="15">
        <v>2</v>
      </c>
      <c r="K700" s="17" t="s">
        <v>426</v>
      </c>
      <c r="M700" s="2" t="str">
        <f>"R8P6"</f>
        <v/>
      </c>
    </row>
    <row r="701" spans="1:13" x14ac:dyDescent="0.35">
      <c r="A701" s="18">
        <v>52963</v>
      </c>
      <c r="B701" s="18" t="s">
        <v>592</v>
      </c>
      <c r="C701" s="14" t="s">
        <v>427</v>
      </c>
      <c r="D701" s="15">
        <v>8</v>
      </c>
      <c r="E701" s="15"/>
      <c r="F701" s="15" t="s">
        <v>61</v>
      </c>
      <c r="G701" s="15">
        <v>1852</v>
      </c>
      <c r="H701" s="15" t="s">
        <v>68</v>
      </c>
      <c r="I701" s="16">
        <v>30741</v>
      </c>
      <c r="J701" s="15">
        <v>4</v>
      </c>
      <c r="K701" s="17" t="s">
        <v>428</v>
      </c>
      <c r="M701" s="2" t="str">
        <f>"3K1I"</f>
        <v/>
      </c>
    </row>
    <row r="702" spans="1:13" x14ac:dyDescent="0.35">
      <c r="A702" s="18">
        <v>74185</v>
      </c>
      <c r="B702" s="18" t="s">
        <v>592</v>
      </c>
      <c r="C702" s="14" t="s">
        <v>429</v>
      </c>
      <c r="D702" s="15">
        <v>1</v>
      </c>
      <c r="E702" s="15"/>
      <c r="F702" s="15" t="s">
        <v>61</v>
      </c>
      <c r="G702" s="15">
        <v>3074</v>
      </c>
      <c r="H702" s="15" t="s">
        <v>68</v>
      </c>
      <c r="I702" s="16">
        <v>52963</v>
      </c>
      <c r="J702" s="15">
        <v>6</v>
      </c>
      <c r="K702" s="17" t="s">
        <v>430</v>
      </c>
      <c r="M702" s="2" t="str">
        <f>"FWDU"</f>
        <v/>
      </c>
    </row>
    <row r="703" spans="1:13" x14ac:dyDescent="0.35">
      <c r="A703" s="18">
        <v>96307</v>
      </c>
      <c r="B703" s="18" t="s">
        <v>592</v>
      </c>
      <c r="C703" s="14" t="s">
        <v>431</v>
      </c>
      <c r="D703" s="15">
        <v>2</v>
      </c>
      <c r="E703" s="15"/>
      <c r="F703" s="15" t="s">
        <v>61</v>
      </c>
      <c r="G703" s="15">
        <v>5296</v>
      </c>
      <c r="H703" s="15" t="s">
        <v>68</v>
      </c>
      <c r="I703" s="16">
        <v>74185</v>
      </c>
      <c r="J703" s="15">
        <v>8</v>
      </c>
      <c r="K703" s="17" t="s">
        <v>432</v>
      </c>
      <c r="M703" s="2" t="str">
        <f>"R8P6"</f>
        <v/>
      </c>
    </row>
    <row r="704" spans="1:13" x14ac:dyDescent="0.35">
      <c r="A704" s="18">
        <v>18529</v>
      </c>
      <c r="B704" s="18" t="s">
        <v>592</v>
      </c>
      <c r="C704" s="14" t="s">
        <v>433</v>
      </c>
      <c r="D704" s="15">
        <v>4</v>
      </c>
      <c r="E704" s="15"/>
      <c r="F704" s="15" t="s">
        <v>61</v>
      </c>
      <c r="G704" s="15">
        <v>7418</v>
      </c>
      <c r="H704" s="15" t="s">
        <v>68</v>
      </c>
      <c r="I704" s="16">
        <v>96307</v>
      </c>
      <c r="J704" s="15">
        <v>1</v>
      </c>
      <c r="K704" s="17" t="s">
        <v>434</v>
      </c>
      <c r="M704" s="2" t="str">
        <f>"3K1I"</f>
        <v/>
      </c>
    </row>
    <row r="705" spans="1:13" x14ac:dyDescent="0.35">
      <c r="A705" s="18">
        <v>30741</v>
      </c>
      <c r="B705" s="18" t="s">
        <v>592</v>
      </c>
      <c r="C705" s="14" t="s">
        <v>435</v>
      </c>
      <c r="D705" s="15">
        <v>6</v>
      </c>
      <c r="E705" s="15"/>
      <c r="F705" s="15" t="s">
        <v>61</v>
      </c>
      <c r="G705" s="15">
        <v>9630</v>
      </c>
      <c r="H705" s="15" t="s">
        <v>68</v>
      </c>
      <c r="I705" s="16">
        <v>18529</v>
      </c>
      <c r="J705" s="15">
        <v>2</v>
      </c>
      <c r="K705" s="17" t="s">
        <v>436</v>
      </c>
      <c r="M705" s="2" t="str">
        <f>"FWDU"</f>
        <v/>
      </c>
    </row>
    <row r="706" spans="1:13" x14ac:dyDescent="0.35">
      <c r="A706" s="18">
        <v>52963</v>
      </c>
      <c r="B706" s="18" t="s">
        <v>592</v>
      </c>
      <c r="C706" s="14" t="s">
        <v>437</v>
      </c>
      <c r="D706" s="15">
        <v>8</v>
      </c>
      <c r="E706" s="15"/>
      <c r="F706" s="15" t="s">
        <v>61</v>
      </c>
      <c r="G706" s="15">
        <v>1852</v>
      </c>
      <c r="H706" s="15" t="s">
        <v>68</v>
      </c>
      <c r="I706" s="16">
        <v>30741</v>
      </c>
      <c r="J706" s="15">
        <v>4</v>
      </c>
      <c r="K706" s="17" t="s">
        <v>438</v>
      </c>
      <c r="M706" s="2" t="str">
        <f>"R8P6"</f>
        <v/>
      </c>
    </row>
    <row r="707" spans="1:13" x14ac:dyDescent="0.35">
      <c r="A707" s="18">
        <v>74185</v>
      </c>
      <c r="B707" s="18" t="s">
        <v>592</v>
      </c>
      <c r="C707" s="14" t="s">
        <v>439</v>
      </c>
      <c r="D707" s="15">
        <v>1</v>
      </c>
      <c r="E707" s="15"/>
      <c r="F707" s="15" t="s">
        <v>61</v>
      </c>
      <c r="G707" s="15">
        <v>3074</v>
      </c>
      <c r="H707" s="15" t="s">
        <v>68</v>
      </c>
      <c r="I707" s="16">
        <v>52963</v>
      </c>
      <c r="J707" s="15">
        <v>6</v>
      </c>
      <c r="K707" s="17" t="s">
        <v>440</v>
      </c>
      <c r="M707" s="2" t="str">
        <f>"3K1I"</f>
        <v/>
      </c>
    </row>
    <row r="708" spans="1:13" x14ac:dyDescent="0.35">
      <c r="A708" s="18">
        <v>96307</v>
      </c>
      <c r="B708" s="18" t="s">
        <v>592</v>
      </c>
      <c r="C708" s="14" t="s">
        <v>441</v>
      </c>
      <c r="D708" s="15">
        <v>2</v>
      </c>
      <c r="E708" s="15"/>
      <c r="F708" s="15" t="s">
        <v>61</v>
      </c>
      <c r="G708" s="15">
        <v>5296</v>
      </c>
      <c r="H708" s="15" t="s">
        <v>68</v>
      </c>
      <c r="I708" s="16">
        <v>74185</v>
      </c>
      <c r="J708" s="15">
        <v>8</v>
      </c>
      <c r="K708" s="17" t="s">
        <v>442</v>
      </c>
      <c r="M708" s="2" t="str">
        <f>"FWDU"</f>
        <v/>
      </c>
    </row>
    <row r="709" spans="1:13" x14ac:dyDescent="0.35">
      <c r="A709" s="18">
        <v>18529</v>
      </c>
      <c r="B709" s="18" t="s">
        <v>592</v>
      </c>
      <c r="C709" s="14" t="s">
        <v>443</v>
      </c>
      <c r="D709" s="15">
        <v>4</v>
      </c>
      <c r="E709" s="15"/>
      <c r="F709" s="15" t="s">
        <v>61</v>
      </c>
      <c r="G709" s="15">
        <v>7418</v>
      </c>
      <c r="H709" s="15" t="s">
        <v>68</v>
      </c>
      <c r="I709" s="16">
        <v>96307</v>
      </c>
      <c r="J709" s="15">
        <v>1</v>
      </c>
      <c r="K709" s="17" t="s">
        <v>444</v>
      </c>
      <c r="M709" s="2" t="str">
        <f>"R8P6"</f>
        <v/>
      </c>
    </row>
    <row r="710" spans="1:13" x14ac:dyDescent="0.35">
      <c r="A710" s="18">
        <v>30741</v>
      </c>
      <c r="B710" s="18" t="s">
        <v>592</v>
      </c>
      <c r="C710" s="14" t="s">
        <v>445</v>
      </c>
      <c r="D710" s="15">
        <v>6</v>
      </c>
      <c r="E710" s="15"/>
      <c r="F710" s="15" t="s">
        <v>61</v>
      </c>
      <c r="G710" s="15">
        <v>9630</v>
      </c>
      <c r="H710" s="15" t="s">
        <v>68</v>
      </c>
      <c r="I710" s="16">
        <v>18529</v>
      </c>
      <c r="J710" s="15">
        <v>2</v>
      </c>
      <c r="K710" s="17" t="s">
        <v>446</v>
      </c>
      <c r="M710" s="2" t="str">
        <f>"3K1I"</f>
        <v/>
      </c>
    </row>
    <row r="711" spans="1:13" x14ac:dyDescent="0.35">
      <c r="A711" s="18">
        <v>52963</v>
      </c>
      <c r="B711" s="18" t="s">
        <v>592</v>
      </c>
      <c r="C711" s="14" t="s">
        <v>447</v>
      </c>
      <c r="D711" s="15">
        <v>8</v>
      </c>
      <c r="E711" s="15"/>
      <c r="F711" s="15" t="s">
        <v>61</v>
      </c>
      <c r="G711" s="15">
        <v>1852</v>
      </c>
      <c r="H711" s="15" t="s">
        <v>68</v>
      </c>
      <c r="I711" s="16">
        <v>30741</v>
      </c>
      <c r="J711" s="15">
        <v>4</v>
      </c>
      <c r="K711" s="17" t="s">
        <v>448</v>
      </c>
      <c r="M711" s="2" t="str">
        <f>"FWDU"</f>
        <v/>
      </c>
    </row>
    <row r="712" spans="1:13" x14ac:dyDescent="0.35">
      <c r="A712" s="18">
        <v>74185</v>
      </c>
      <c r="B712" s="18" t="s">
        <v>592</v>
      </c>
      <c r="C712" s="14" t="s">
        <v>449</v>
      </c>
      <c r="D712" s="15">
        <v>1</v>
      </c>
      <c r="E712" s="15"/>
      <c r="F712" s="15" t="s">
        <v>61</v>
      </c>
      <c r="G712" s="15">
        <v>3074</v>
      </c>
      <c r="H712" s="15" t="s">
        <v>68</v>
      </c>
      <c r="I712" s="16">
        <v>52963</v>
      </c>
      <c r="J712" s="15">
        <v>6</v>
      </c>
      <c r="K712" s="17" t="s">
        <v>450</v>
      </c>
      <c r="M712" s="2" t="str">
        <f>"R8P6"</f>
        <v/>
      </c>
    </row>
    <row r="713" spans="1:13" x14ac:dyDescent="0.35">
      <c r="A713" s="18">
        <v>96307</v>
      </c>
      <c r="B713" s="18" t="s">
        <v>592</v>
      </c>
      <c r="C713" s="14" t="s">
        <v>451</v>
      </c>
      <c r="D713" s="15">
        <v>2</v>
      </c>
      <c r="E713" s="15"/>
      <c r="F713" s="15" t="s">
        <v>61</v>
      </c>
      <c r="G713" s="15">
        <v>5296</v>
      </c>
      <c r="H713" s="15" t="s">
        <v>68</v>
      </c>
      <c r="I713" s="16">
        <v>74185</v>
      </c>
      <c r="J713" s="15">
        <v>8</v>
      </c>
      <c r="K713" s="17" t="s">
        <v>452</v>
      </c>
      <c r="M713" s="2" t="str">
        <f>"3K1I"</f>
        <v/>
      </c>
    </row>
    <row r="714" spans="1:13" x14ac:dyDescent="0.35">
      <c r="A714" s="18">
        <v>18529</v>
      </c>
      <c r="B714" s="18" t="s">
        <v>592</v>
      </c>
      <c r="C714" s="14" t="s">
        <v>453</v>
      </c>
      <c r="D714" s="15">
        <v>4</v>
      </c>
      <c r="E714" s="15"/>
      <c r="F714" s="15" t="s">
        <v>61</v>
      </c>
      <c r="G714" s="15">
        <v>7418</v>
      </c>
      <c r="H714" s="15" t="s">
        <v>68</v>
      </c>
      <c r="I714" s="16">
        <v>96307</v>
      </c>
      <c r="J714" s="15">
        <v>1</v>
      </c>
      <c r="K714" s="17" t="s">
        <v>454</v>
      </c>
      <c r="M714" s="2" t="str">
        <f>"FWDU"</f>
        <v/>
      </c>
    </row>
    <row r="715" spans="1:13" x14ac:dyDescent="0.35">
      <c r="A715" s="18">
        <v>30741</v>
      </c>
      <c r="B715" s="18" t="s">
        <v>592</v>
      </c>
      <c r="C715" s="14" t="s">
        <v>455</v>
      </c>
      <c r="D715" s="15">
        <v>6</v>
      </c>
      <c r="E715" s="15"/>
      <c r="F715" s="15" t="s">
        <v>61</v>
      </c>
      <c r="G715" s="15">
        <v>9630</v>
      </c>
      <c r="H715" s="15" t="s">
        <v>68</v>
      </c>
      <c r="I715" s="16">
        <v>18529</v>
      </c>
      <c r="J715" s="15">
        <v>2</v>
      </c>
      <c r="K715" s="17" t="s">
        <v>456</v>
      </c>
      <c r="M715" s="2" t="str">
        <f>"R8P6"</f>
        <v/>
      </c>
    </row>
    <row r="716" spans="1:13" x14ac:dyDescent="0.35">
      <c r="A716" s="18">
        <v>52963</v>
      </c>
      <c r="B716" s="18" t="s">
        <v>592</v>
      </c>
      <c r="C716" s="14" t="s">
        <v>457</v>
      </c>
      <c r="D716" s="15">
        <v>8</v>
      </c>
      <c r="E716" s="15"/>
      <c r="F716" s="15" t="s">
        <v>61</v>
      </c>
      <c r="G716" s="15">
        <v>1852</v>
      </c>
      <c r="H716" s="15" t="s">
        <v>68</v>
      </c>
      <c r="I716" s="16">
        <v>30741</v>
      </c>
      <c r="J716" s="15">
        <v>4</v>
      </c>
      <c r="K716" s="17" t="s">
        <v>458</v>
      </c>
      <c r="M716" s="2" t="str">
        <f>"3K1I"</f>
        <v/>
      </c>
    </row>
    <row r="717" spans="1:13" x14ac:dyDescent="0.35">
      <c r="A717" s="18">
        <v>74185</v>
      </c>
      <c r="B717" s="18" t="s">
        <v>592</v>
      </c>
      <c r="C717" s="14" t="s">
        <v>459</v>
      </c>
      <c r="D717" s="15">
        <v>1</v>
      </c>
      <c r="E717" s="15"/>
      <c r="F717" s="15" t="s">
        <v>61</v>
      </c>
      <c r="G717" s="15">
        <v>3074</v>
      </c>
      <c r="H717" s="15" t="s">
        <v>68</v>
      </c>
      <c r="I717" s="16">
        <v>52963</v>
      </c>
      <c r="J717" s="15">
        <v>6</v>
      </c>
      <c r="K717" s="17" t="s">
        <v>460</v>
      </c>
      <c r="M717" s="2" t="str">
        <f>"FWDU"</f>
        <v/>
      </c>
    </row>
    <row r="718" spans="1:13" x14ac:dyDescent="0.35">
      <c r="A718" s="18">
        <v>96307</v>
      </c>
      <c r="B718" s="18" t="s">
        <v>592</v>
      </c>
      <c r="C718" s="14" t="s">
        <v>461</v>
      </c>
      <c r="D718" s="15">
        <v>2</v>
      </c>
      <c r="E718" s="15"/>
      <c r="F718" s="15" t="s">
        <v>61</v>
      </c>
      <c r="G718" s="15">
        <v>5296</v>
      </c>
      <c r="H718" s="15" t="s">
        <v>68</v>
      </c>
      <c r="I718" s="16">
        <v>74185</v>
      </c>
      <c r="J718" s="15">
        <v>8</v>
      </c>
      <c r="K718" s="17" t="s">
        <v>462</v>
      </c>
      <c r="M718" s="2" t="str">
        <f>"R8P6"</f>
        <v/>
      </c>
    </row>
    <row r="719" spans="1:13" x14ac:dyDescent="0.35">
      <c r="A719" s="18">
        <v>18529</v>
      </c>
      <c r="B719" s="18" t="s">
        <v>592</v>
      </c>
      <c r="C719" s="14" t="s">
        <v>463</v>
      </c>
      <c r="D719" s="15">
        <v>4</v>
      </c>
      <c r="E719" s="15"/>
      <c r="F719" s="15" t="s">
        <v>61</v>
      </c>
      <c r="G719" s="15">
        <v>7418</v>
      </c>
      <c r="H719" s="15" t="s">
        <v>68</v>
      </c>
      <c r="I719" s="16">
        <v>96307</v>
      </c>
      <c r="J719" s="15">
        <v>1</v>
      </c>
      <c r="K719" s="17" t="s">
        <v>464</v>
      </c>
      <c r="M719" s="2" t="str">
        <f>"3K1I"</f>
        <v/>
      </c>
    </row>
    <row r="720" spans="1:13" x14ac:dyDescent="0.35">
      <c r="A720" s="18">
        <v>30741</v>
      </c>
      <c r="B720" s="18" t="s">
        <v>592</v>
      </c>
      <c r="C720" s="14" t="s">
        <v>465</v>
      </c>
      <c r="D720" s="15">
        <v>6</v>
      </c>
      <c r="E720" s="15"/>
      <c r="F720" s="15" t="s">
        <v>61</v>
      </c>
      <c r="G720" s="15">
        <v>9630</v>
      </c>
      <c r="H720" s="15" t="s">
        <v>68</v>
      </c>
      <c r="I720" s="16">
        <v>18529</v>
      </c>
      <c r="J720" s="15">
        <v>2</v>
      </c>
      <c r="K720" s="17" t="s">
        <v>466</v>
      </c>
      <c r="M720" s="2" t="str">
        <f>"FWDU"</f>
        <v/>
      </c>
    </row>
    <row r="721" spans="1:15" x14ac:dyDescent="0.35">
      <c r="A721" s="18">
        <v>52963</v>
      </c>
      <c r="B721" s="18" t="s">
        <v>592</v>
      </c>
      <c r="C721" s="14" t="s">
        <v>467</v>
      </c>
      <c r="D721" s="15">
        <v>8</v>
      </c>
      <c r="E721" s="15"/>
      <c r="F721" s="15" t="s">
        <v>61</v>
      </c>
      <c r="G721" s="15">
        <v>1852</v>
      </c>
      <c r="H721" s="15" t="s">
        <v>68</v>
      </c>
      <c r="I721" s="16">
        <v>30741</v>
      </c>
      <c r="J721" s="15">
        <v>4</v>
      </c>
      <c r="K721" s="17" t="s">
        <v>468</v>
      </c>
      <c r="M721" s="2" t="str">
        <f>"R8P6"</f>
        <v/>
      </c>
    </row>
    <row r="722" spans="1:15" x14ac:dyDescent="0.35">
      <c r="A722" s="18">
        <v>74185</v>
      </c>
      <c r="B722" s="18" t="s">
        <v>592</v>
      </c>
      <c r="C722" s="14" t="s">
        <v>469</v>
      </c>
      <c r="D722" s="15">
        <v>1</v>
      </c>
      <c r="E722" s="15"/>
      <c r="F722" s="15" t="s">
        <v>61</v>
      </c>
      <c r="G722" s="15">
        <v>3074</v>
      </c>
      <c r="H722" s="15" t="s">
        <v>68</v>
      </c>
      <c r="I722" s="16">
        <v>52963</v>
      </c>
      <c r="J722" s="15">
        <v>6</v>
      </c>
      <c r="K722" s="17" t="s">
        <v>470</v>
      </c>
      <c r="M722" s="2" t="str">
        <f>"3K1I"</f>
        <v/>
      </c>
    </row>
    <row r="723" spans="1:15" x14ac:dyDescent="0.35">
      <c r="A723" s="18">
        <v>96307</v>
      </c>
      <c r="B723" s="18" t="s">
        <v>592</v>
      </c>
      <c r="C723" s="14" t="s">
        <v>471</v>
      </c>
      <c r="D723" s="15">
        <v>2</v>
      </c>
      <c r="E723" s="15"/>
      <c r="F723" s="15" t="s">
        <v>61</v>
      </c>
      <c r="G723" s="15">
        <v>5296</v>
      </c>
      <c r="H723" s="15" t="s">
        <v>68</v>
      </c>
      <c r="I723" s="16">
        <v>74185</v>
      </c>
      <c r="J723" s="15">
        <v>8</v>
      </c>
      <c r="K723" s="17" t="s">
        <v>472</v>
      </c>
      <c r="M723" s="2" t="str">
        <f>"FWDU"</f>
        <v/>
      </c>
    </row>
    <row r="724" spans="1:15" x14ac:dyDescent="0.35">
      <c r="A724" s="18">
        <v>18529</v>
      </c>
      <c r="B724" s="18" t="s">
        <v>592</v>
      </c>
      <c r="C724" s="14" t="s">
        <v>473</v>
      </c>
      <c r="D724" s="15">
        <v>4</v>
      </c>
      <c r="E724" s="15"/>
      <c r="F724" s="15" t="s">
        <v>61</v>
      </c>
      <c r="G724" s="15">
        <v>7418</v>
      </c>
      <c r="H724" s="15" t="s">
        <v>68</v>
      </c>
      <c r="I724" s="16">
        <v>96307</v>
      </c>
      <c r="J724" s="15">
        <v>1</v>
      </c>
      <c r="K724" s="17" t="s">
        <v>474</v>
      </c>
      <c r="M724" s="2" t="str">
        <f>"R8P6"</f>
        <v/>
      </c>
    </row>
    <row r="725" spans="1:15" x14ac:dyDescent="0.35">
      <c r="A725" s="18">
        <v>30741</v>
      </c>
      <c r="B725" s="18" t="s">
        <v>592</v>
      </c>
      <c r="C725" s="14" t="s">
        <v>475</v>
      </c>
      <c r="D725" s="15">
        <v>6</v>
      </c>
      <c r="E725" s="15"/>
      <c r="F725" s="15" t="s">
        <v>61</v>
      </c>
      <c r="G725" s="15">
        <v>9630</v>
      </c>
      <c r="H725" s="15" t="s">
        <v>68</v>
      </c>
      <c r="I725" s="16">
        <v>18529</v>
      </c>
      <c r="J725" s="15">
        <v>2</v>
      </c>
      <c r="K725" s="17" t="s">
        <v>476</v>
      </c>
      <c r="M725" s="2" t="str">
        <f>"3K1I"</f>
        <v/>
      </c>
    </row>
    <row r="726" spans="1:15" x14ac:dyDescent="0.35">
      <c r="A726" s="18">
        <v>52963</v>
      </c>
      <c r="B726" s="18" t="s">
        <v>592</v>
      </c>
      <c r="C726" s="14" t="s">
        <v>477</v>
      </c>
      <c r="D726" s="15">
        <v>8</v>
      </c>
      <c r="E726" s="15"/>
      <c r="F726" s="15" t="s">
        <v>61</v>
      </c>
      <c r="G726" s="15">
        <v>1852</v>
      </c>
      <c r="H726" s="15" t="s">
        <v>68</v>
      </c>
      <c r="I726" s="16">
        <v>30741</v>
      </c>
      <c r="J726" s="15">
        <v>4</v>
      </c>
      <c r="K726" s="17" t="s">
        <v>478</v>
      </c>
      <c r="M726" s="2" t="str">
        <f>"FWDU"</f>
        <v/>
      </c>
    </row>
    <row r="727" spans="1:15" x14ac:dyDescent="0.35">
      <c r="A727" s="18">
        <v>74185</v>
      </c>
      <c r="B727" s="18" t="s">
        <v>592</v>
      </c>
      <c r="C727" s="14" t="s">
        <v>479</v>
      </c>
      <c r="D727" s="15">
        <v>1</v>
      </c>
      <c r="E727" s="15"/>
      <c r="F727" s="15" t="s">
        <v>61</v>
      </c>
      <c r="G727" s="15">
        <v>3074</v>
      </c>
      <c r="H727" s="15" t="s">
        <v>68</v>
      </c>
      <c r="I727" s="16">
        <v>52963</v>
      </c>
      <c r="J727" s="15">
        <v>6</v>
      </c>
      <c r="K727" s="17" t="s">
        <v>480</v>
      </c>
      <c r="M727" s="2" t="str">
        <f>"R8P6"</f>
        <v/>
      </c>
    </row>
    <row r="728" spans="1:15" x14ac:dyDescent="0.35">
      <c r="A728" s="18">
        <v>96307</v>
      </c>
      <c r="B728" s="18" t="s">
        <v>592</v>
      </c>
      <c r="C728" s="14" t="s">
        <v>481</v>
      </c>
      <c r="D728" s="15">
        <v>2</v>
      </c>
      <c r="E728" s="15"/>
      <c r="F728" s="15" t="s">
        <v>61</v>
      </c>
      <c r="G728" s="15">
        <v>5296</v>
      </c>
      <c r="H728" s="15" t="s">
        <v>68</v>
      </c>
      <c r="I728" s="16">
        <v>74185</v>
      </c>
      <c r="J728" s="15">
        <v>8</v>
      </c>
      <c r="K728" s="17" t="s">
        <v>482</v>
      </c>
      <c r="M728" s="2" t="str">
        <f>"3K1I"</f>
        <v/>
      </c>
    </row>
    <row r="729" spans="1:15" x14ac:dyDescent="0.35">
      <c r="A729" s="18">
        <v>18529</v>
      </c>
      <c r="B729" s="18" t="s">
        <v>592</v>
      </c>
      <c r="C729" s="14" t="s">
        <v>483</v>
      </c>
      <c r="D729" s="15">
        <v>4</v>
      </c>
      <c r="E729" s="15"/>
      <c r="F729" s="15" t="s">
        <v>61</v>
      </c>
      <c r="G729" s="15">
        <v>7418</v>
      </c>
      <c r="H729" s="15" t="s">
        <v>68</v>
      </c>
      <c r="I729" s="16">
        <v>96307</v>
      </c>
      <c r="J729" s="15">
        <v>1</v>
      </c>
      <c r="K729" s="17" t="s">
        <v>484</v>
      </c>
      <c r="M729" s="2" t="str">
        <f>"FWDU"</f>
        <v/>
      </c>
    </row>
    <row r="730" spans="1:15" x14ac:dyDescent="0.35">
      <c r="A730" s="18">
        <v>30741</v>
      </c>
      <c r="B730" s="18" t="s">
        <v>592</v>
      </c>
      <c r="C730" s="14" t="s">
        <v>485</v>
      </c>
      <c r="D730" s="15">
        <v>6</v>
      </c>
      <c r="E730" s="15"/>
      <c r="F730" s="15" t="s">
        <v>61</v>
      </c>
      <c r="G730" s="15">
        <v>9630</v>
      </c>
      <c r="H730" s="15" t="s">
        <v>68</v>
      </c>
      <c r="I730" s="16">
        <v>18529</v>
      </c>
      <c r="J730" s="15">
        <v>2</v>
      </c>
      <c r="K730" s="17" t="s">
        <v>486</v>
      </c>
      <c r="M730" s="2" t="str">
        <f>"R8P6"</f>
        <v/>
      </c>
    </row>
    <row r="731" spans="1:15" x14ac:dyDescent="0.35">
      <c r="A731" s="18">
        <v>52963</v>
      </c>
      <c r="B731" s="18" t="s">
        <v>592</v>
      </c>
      <c r="C731" s="14" t="s">
        <v>487</v>
      </c>
      <c r="D731" s="15">
        <v>8</v>
      </c>
      <c r="E731" s="15"/>
      <c r="F731" s="15" t="s">
        <v>61</v>
      </c>
      <c r="G731" s="15">
        <v>1852</v>
      </c>
      <c r="H731" s="15" t="s">
        <v>68</v>
      </c>
      <c r="I731" s="16">
        <v>30741</v>
      </c>
      <c r="J731" s="15">
        <v>4</v>
      </c>
      <c r="K731" s="17" t="s">
        <v>488</v>
      </c>
      <c r="M731" s="2" t="str">
        <f>"3K1I"</f>
        <v/>
      </c>
    </row>
    <row r="732" spans="1:15" x14ac:dyDescent="0.35">
      <c r="A732" s="18">
        <v>74185</v>
      </c>
      <c r="B732" s="18" t="s">
        <v>592</v>
      </c>
      <c r="C732" s="14" t="s">
        <v>489</v>
      </c>
      <c r="D732" s="15">
        <v>1</v>
      </c>
      <c r="E732" s="15"/>
      <c r="F732" s="15" t="s">
        <v>61</v>
      </c>
      <c r="G732" s="15">
        <v>3074</v>
      </c>
      <c r="H732" s="15" t="s">
        <v>68</v>
      </c>
      <c r="I732" s="16">
        <v>52963</v>
      </c>
      <c r="J732" s="15">
        <v>6</v>
      </c>
      <c r="K732" s="17" t="s">
        <v>490</v>
      </c>
      <c r="M732" s="2" t="str">
        <f>"FWDU"</f>
        <v/>
      </c>
    </row>
    <row r="733" spans="1:15" x14ac:dyDescent="0.35">
      <c r="A733" s="18">
        <v>96307</v>
      </c>
      <c r="B733" s="18" t="s">
        <v>592</v>
      </c>
      <c r="C733" s="14" t="s">
        <v>491</v>
      </c>
      <c r="D733" s="15">
        <v>2</v>
      </c>
      <c r="E733" s="15"/>
      <c r="F733" s="15" t="s">
        <v>61</v>
      </c>
      <c r="G733" s="15">
        <v>5296</v>
      </c>
      <c r="H733" s="15" t="s">
        <v>68</v>
      </c>
      <c r="I733" s="16">
        <v>74185</v>
      </c>
      <c r="J733" s="15">
        <v>8</v>
      </c>
      <c r="K733" s="17" t="s">
        <v>492</v>
      </c>
      <c r="M733" s="2" t="str">
        <f>"R8P6"</f>
        <v/>
      </c>
    </row>
    <row r="734" spans="1:15" x14ac:dyDescent="0.35">
      <c r="A734" s="18">
        <v>18529</v>
      </c>
      <c r="B734" s="18" t="s">
        <v>592</v>
      </c>
      <c r="C734" s="14" t="s">
        <v>493</v>
      </c>
      <c r="D734" s="15">
        <v>4</v>
      </c>
      <c r="E734" s="15"/>
      <c r="F734" s="15" t="s">
        <v>61</v>
      </c>
      <c r="G734" s="15">
        <v>7418</v>
      </c>
      <c r="H734" s="15" t="s">
        <v>68</v>
      </c>
      <c r="I734" s="16">
        <v>96307</v>
      </c>
      <c r="J734" s="15">
        <v>1</v>
      </c>
      <c r="K734" s="17" t="s">
        <v>494</v>
      </c>
      <c r="M734" s="2" t="str">
        <f>"3K1I"</f>
        <v/>
      </c>
    </row>
    <row r="735" spans="1:15" x14ac:dyDescent="0.35">
      <c r="A735" s="18">
        <v>30741</v>
      </c>
      <c r="B735" s="18" t="s">
        <v>592</v>
      </c>
      <c r="C735" s="14" t="s">
        <v>495</v>
      </c>
      <c r="D735" s="15">
        <v>6</v>
      </c>
      <c r="E735" s="15"/>
      <c r="F735" s="15" t="s">
        <v>61</v>
      </c>
      <c r="G735" s="15">
        <v>9630</v>
      </c>
      <c r="H735" s="15" t="s">
        <v>142</v>
      </c>
      <c r="I735" s="16">
        <v>18529</v>
      </c>
      <c r="J735" s="15">
        <v>2</v>
      </c>
      <c r="K735" s="17" t="s">
        <v>496</v>
      </c>
      <c r="L735" s="1" t="str">
        <f>"FWDUBS9Q7O5M3K1IZGXE"</f>
        <v>FWDUBS9Q7O5M3K1IZGXE</v>
      </c>
      <c r="M735" s="2" t="str">
        <f>"S9Q7O5M3K1IZGXEVC"</f>
        <v>S9Q7O5M3K1IZGXEVC</v>
      </c>
      <c r="N735" s="1" t="s">
        <v>64</v>
      </c>
      <c r="O735" s="18">
        <v>7418</v>
      </c>
    </row>
    <row r="736" spans="1:15" x14ac:dyDescent="0.35">
      <c r="A736" s="18">
        <v>85296</v>
      </c>
      <c r="B736" s="18" t="s">
        <v>592</v>
      </c>
      <c r="C736" s="14" t="s">
        <v>497</v>
      </c>
      <c r="D736" s="15">
        <v>1</v>
      </c>
      <c r="E736" s="15"/>
      <c r="F736" s="15" t="s">
        <v>61</v>
      </c>
      <c r="G736" s="15">
        <v>4185</v>
      </c>
      <c r="H736" s="15" t="s">
        <v>142</v>
      </c>
      <c r="I736" s="16">
        <v>63074</v>
      </c>
      <c r="J736" s="15">
        <v>7</v>
      </c>
      <c r="K736" s="17" t="s">
        <v>498</v>
      </c>
      <c r="L736" s="1" t="str">
        <f>"UBS9Q7O5M3K1IZGXEVCT"</f>
        <v>UBS9Q7O5M3K1IZGXEVCT</v>
      </c>
      <c r="M736" s="2" t="str">
        <f>"7O5M3K1IZGXEVCTAR"</f>
        <v>7O5M3K1IZGXEVCTAR</v>
      </c>
      <c r="N736" s="1" t="s">
        <v>64</v>
      </c>
      <c r="O736" s="18">
        <v>2963</v>
      </c>
    </row>
    <row r="737" spans="1:15" x14ac:dyDescent="0.35">
      <c r="A737" s="18">
        <v>30741</v>
      </c>
      <c r="B737" s="18" t="s">
        <v>592</v>
      </c>
      <c r="C737" s="14" t="s">
        <v>499</v>
      </c>
      <c r="D737" s="15">
        <v>6</v>
      </c>
      <c r="E737" s="15"/>
      <c r="F737" s="15" t="s">
        <v>61</v>
      </c>
      <c r="G737" s="15">
        <v>9630</v>
      </c>
      <c r="H737" s="15" t="s">
        <v>68</v>
      </c>
      <c r="I737" s="16">
        <v>18529</v>
      </c>
      <c r="J737" s="15">
        <v>2</v>
      </c>
      <c r="K737" s="17" t="s">
        <v>500</v>
      </c>
      <c r="M737" s="2" t="str">
        <f>"9Q7O"</f>
        <v/>
      </c>
    </row>
    <row r="738" spans="1:15" x14ac:dyDescent="0.35">
      <c r="A738" s="18">
        <v>52963</v>
      </c>
      <c r="B738" s="18" t="s">
        <v>592</v>
      </c>
      <c r="C738" s="14" t="s">
        <v>501</v>
      </c>
      <c r="D738" s="15">
        <v>8</v>
      </c>
      <c r="E738" s="15"/>
      <c r="F738" s="15" t="s">
        <v>61</v>
      </c>
      <c r="G738" s="15">
        <v>1852</v>
      </c>
      <c r="H738" s="15" t="s">
        <v>68</v>
      </c>
      <c r="I738" s="16">
        <v>30741</v>
      </c>
      <c r="J738" s="15">
        <v>4</v>
      </c>
      <c r="K738" s="17" t="s">
        <v>502</v>
      </c>
      <c r="M738" s="2" t="str">
        <f>"L2J0"</f>
        <v/>
      </c>
    </row>
    <row r="739" spans="1:15" x14ac:dyDescent="0.35">
      <c r="A739" s="18">
        <v>74185</v>
      </c>
      <c r="B739" s="18" t="s">
        <v>592</v>
      </c>
      <c r="C739" s="14" t="s">
        <v>503</v>
      </c>
      <c r="D739" s="15">
        <v>1</v>
      </c>
      <c r="E739" s="15"/>
      <c r="F739" s="15" t="s">
        <v>61</v>
      </c>
      <c r="G739" s="15">
        <v>3074</v>
      </c>
      <c r="H739" s="15" t="s">
        <v>68</v>
      </c>
      <c r="I739" s="16">
        <v>52963</v>
      </c>
      <c r="J739" s="15">
        <v>6</v>
      </c>
      <c r="K739" s="17" t="s">
        <v>504</v>
      </c>
      <c r="M739" s="2" t="str">
        <f>"XEVC"</f>
        <v/>
      </c>
    </row>
    <row r="740" spans="1:15" x14ac:dyDescent="0.35">
      <c r="A740" s="18">
        <v>96307</v>
      </c>
      <c r="B740" s="18" t="s">
        <v>592</v>
      </c>
      <c r="C740" s="14" t="s">
        <v>505</v>
      </c>
      <c r="D740" s="15">
        <v>2</v>
      </c>
      <c r="E740" s="15"/>
      <c r="F740" s="15" t="s">
        <v>61</v>
      </c>
      <c r="G740" s="15">
        <v>5296</v>
      </c>
      <c r="H740" s="15" t="s">
        <v>68</v>
      </c>
      <c r="I740" s="16">
        <v>74185</v>
      </c>
      <c r="J740" s="15">
        <v>8</v>
      </c>
      <c r="K740" s="17" t="s">
        <v>506</v>
      </c>
      <c r="M740" s="2" t="str">
        <f>"9Q7O"</f>
        <v/>
      </c>
    </row>
    <row r="741" spans="1:15" x14ac:dyDescent="0.35">
      <c r="A741" s="18">
        <v>18529</v>
      </c>
      <c r="B741" s="18" t="s">
        <v>592</v>
      </c>
      <c r="C741" s="14" t="s">
        <v>507</v>
      </c>
      <c r="D741" s="15">
        <v>4</v>
      </c>
      <c r="E741" s="15"/>
      <c r="F741" s="15" t="s">
        <v>61</v>
      </c>
      <c r="G741" s="15">
        <v>7418</v>
      </c>
      <c r="H741" s="15" t="s">
        <v>68</v>
      </c>
      <c r="I741" s="16">
        <v>96307</v>
      </c>
      <c r="J741" s="15">
        <v>1</v>
      </c>
      <c r="K741" s="17" t="s">
        <v>508</v>
      </c>
      <c r="M741" s="2" t="str">
        <f>"L2J0"</f>
        <v/>
      </c>
    </row>
    <row r="742" spans="1:15" x14ac:dyDescent="0.35">
      <c r="A742" s="18">
        <v>30741</v>
      </c>
      <c r="B742" s="18" t="s">
        <v>592</v>
      </c>
      <c r="C742" s="14" t="s">
        <v>509</v>
      </c>
      <c r="D742" s="15">
        <v>6</v>
      </c>
      <c r="E742" s="15"/>
      <c r="F742" s="15" t="s">
        <v>61</v>
      </c>
      <c r="G742" s="15">
        <v>9630</v>
      </c>
      <c r="H742" s="15" t="s">
        <v>68</v>
      </c>
      <c r="I742" s="16">
        <v>18529</v>
      </c>
      <c r="J742" s="15">
        <v>2</v>
      </c>
      <c r="K742" s="17" t="s">
        <v>510</v>
      </c>
      <c r="M742" s="2" t="str">
        <f>"XEVC"</f>
        <v/>
      </c>
    </row>
    <row r="743" spans="1:15" x14ac:dyDescent="0.35">
      <c r="A743" s="18">
        <v>52963</v>
      </c>
      <c r="B743" s="18" t="s">
        <v>592</v>
      </c>
      <c r="C743" s="14" t="s">
        <v>511</v>
      </c>
      <c r="D743" s="15">
        <v>8</v>
      </c>
      <c r="E743" s="15"/>
      <c r="F743" s="15" t="s">
        <v>61</v>
      </c>
      <c r="G743" s="15">
        <v>1852</v>
      </c>
      <c r="H743" s="15" t="s">
        <v>155</v>
      </c>
      <c r="I743" s="16">
        <v>30741</v>
      </c>
      <c r="J743" s="15">
        <v>4</v>
      </c>
      <c r="K743" s="17" t="s">
        <v>512</v>
      </c>
      <c r="L743" s="1" t="str">
        <f>"9Q7O5M3K1IZGXEVCTAR8"</f>
        <v>9Q7O5M3K1IZGXEVCTAR8</v>
      </c>
      <c r="M743" s="2" t="str">
        <f>"M3K1IZGXEVCTAR8P6"</f>
        <v>M3K1IZGXEVCTAR8P6</v>
      </c>
      <c r="N743" s="1" t="s">
        <v>64</v>
      </c>
      <c r="O743" s="1">
        <v>9630</v>
      </c>
    </row>
    <row r="744" spans="1:15" x14ac:dyDescent="0.35">
      <c r="A744" s="18">
        <v>17418</v>
      </c>
      <c r="B744" s="18" t="s">
        <v>592</v>
      </c>
      <c r="C744" s="14" t="s">
        <v>513</v>
      </c>
      <c r="D744" s="15">
        <v>3</v>
      </c>
      <c r="E744" s="15"/>
      <c r="F744" s="15" t="s">
        <v>61</v>
      </c>
      <c r="G744" s="15">
        <v>6307</v>
      </c>
      <c r="H744" s="15" t="s">
        <v>68</v>
      </c>
      <c r="I744" s="16">
        <v>85296</v>
      </c>
      <c r="J744" s="15">
        <v>9</v>
      </c>
      <c r="K744" s="17" t="s">
        <v>514</v>
      </c>
      <c r="M744" s="2" t="str">
        <f>"O5M3"</f>
        <v/>
      </c>
    </row>
    <row r="745" spans="1:15" x14ac:dyDescent="0.35">
      <c r="A745" s="18">
        <v>29630</v>
      </c>
      <c r="B745" s="18" t="s">
        <v>592</v>
      </c>
      <c r="C745" s="14" t="s">
        <v>515</v>
      </c>
      <c r="D745" s="15">
        <v>5</v>
      </c>
      <c r="E745" s="15"/>
      <c r="F745" s="15" t="s">
        <v>61</v>
      </c>
      <c r="G745" s="15">
        <v>8529</v>
      </c>
      <c r="H745" s="15" t="s">
        <v>68</v>
      </c>
      <c r="I745" s="16">
        <v>17418</v>
      </c>
      <c r="J745" s="15">
        <v>1</v>
      </c>
      <c r="K745" s="17" t="s">
        <v>516</v>
      </c>
      <c r="M745" s="2" t="str">
        <f>"0HYF"</f>
        <v/>
      </c>
    </row>
    <row r="746" spans="1:15" x14ac:dyDescent="0.35">
      <c r="A746" s="18">
        <v>41852</v>
      </c>
      <c r="B746" s="18" t="s">
        <v>592</v>
      </c>
      <c r="C746" s="14" t="s">
        <v>517</v>
      </c>
      <c r="D746" s="15">
        <v>7</v>
      </c>
      <c r="E746" s="15"/>
      <c r="F746" s="15" t="s">
        <v>61</v>
      </c>
      <c r="G746" s="15">
        <v>1741</v>
      </c>
      <c r="H746" s="15" t="s">
        <v>68</v>
      </c>
      <c r="I746" s="16">
        <v>29630</v>
      </c>
      <c r="J746" s="15">
        <v>3</v>
      </c>
      <c r="K746" s="17" t="s">
        <v>518</v>
      </c>
      <c r="M746" s="2" t="str">
        <f>"CTAR"</f>
        <v/>
      </c>
    </row>
    <row r="747" spans="1:15" x14ac:dyDescent="0.35">
      <c r="A747" s="18">
        <v>63074</v>
      </c>
      <c r="B747" s="18" t="s">
        <v>592</v>
      </c>
      <c r="C747" s="14" t="s">
        <v>519</v>
      </c>
      <c r="D747" s="15">
        <v>9</v>
      </c>
      <c r="E747" s="15"/>
      <c r="F747" s="15" t="s">
        <v>61</v>
      </c>
      <c r="G747" s="15">
        <v>2963</v>
      </c>
      <c r="H747" s="15" t="s">
        <v>68</v>
      </c>
      <c r="I747" s="16">
        <v>41852</v>
      </c>
      <c r="J747" s="15">
        <v>5</v>
      </c>
      <c r="K747" s="17" t="s">
        <v>520</v>
      </c>
      <c r="M747" s="2" t="str">
        <f>"O5M3"</f>
        <v/>
      </c>
    </row>
    <row r="748" spans="1:15" x14ac:dyDescent="0.35">
      <c r="A748" s="18">
        <v>85296</v>
      </c>
      <c r="B748" s="18" t="s">
        <v>592</v>
      </c>
      <c r="C748" s="14" t="s">
        <v>521</v>
      </c>
      <c r="D748" s="15">
        <v>1</v>
      </c>
      <c r="E748" s="15"/>
      <c r="F748" s="15" t="s">
        <v>61</v>
      </c>
      <c r="G748" s="15">
        <v>4185</v>
      </c>
      <c r="H748" s="15" t="s">
        <v>68</v>
      </c>
      <c r="I748" s="16">
        <v>63074</v>
      </c>
      <c r="J748" s="15">
        <v>7</v>
      </c>
      <c r="K748" s="17" t="s">
        <v>522</v>
      </c>
      <c r="M748" s="2" t="str">
        <f>"0HYF"</f>
        <v/>
      </c>
    </row>
    <row r="749" spans="1:15" x14ac:dyDescent="0.35">
      <c r="A749" s="18">
        <v>17418</v>
      </c>
      <c r="B749" s="18" t="s">
        <v>592</v>
      </c>
      <c r="C749" s="14" t="s">
        <v>523</v>
      </c>
      <c r="D749" s="15">
        <v>3</v>
      </c>
      <c r="E749" s="15"/>
      <c r="F749" s="15" t="s">
        <v>61</v>
      </c>
      <c r="G749" s="15">
        <v>6307</v>
      </c>
      <c r="H749" s="15" t="s">
        <v>155</v>
      </c>
      <c r="I749" s="16">
        <v>85296</v>
      </c>
      <c r="J749" s="15">
        <v>9</v>
      </c>
      <c r="K749" s="17" t="s">
        <v>524</v>
      </c>
      <c r="L749" s="1" t="str">
        <f>"CTAR8P6N4L2J0HYFWDUB"</f>
        <v>CTAR8P6N4L2J0HYFWDUB</v>
      </c>
      <c r="M749" s="2" t="str">
        <f>"P6N4L2J0HYFWDUBS9"</f>
        <v>P6N4L2J0HYFWDUBS9</v>
      </c>
      <c r="N749" s="1" t="s">
        <v>64</v>
      </c>
      <c r="O749" s="1">
        <v>4185</v>
      </c>
    </row>
    <row r="750" spans="1:15" x14ac:dyDescent="0.35">
      <c r="A750" s="18">
        <v>52963</v>
      </c>
      <c r="B750" s="18" t="s">
        <v>592</v>
      </c>
      <c r="C750" s="14" t="s">
        <v>525</v>
      </c>
      <c r="D750" s="15">
        <v>8</v>
      </c>
      <c r="E750" s="15"/>
      <c r="F750" s="15" t="s">
        <v>61</v>
      </c>
      <c r="G750" s="15">
        <v>1852</v>
      </c>
      <c r="H750" s="15" t="s">
        <v>68</v>
      </c>
      <c r="I750" s="16">
        <v>30741</v>
      </c>
      <c r="J750" s="15">
        <v>4</v>
      </c>
      <c r="K750" s="17" t="s">
        <v>526</v>
      </c>
      <c r="M750" s="2" t="str">
        <f>"R8P6"</f>
        <v/>
      </c>
    </row>
    <row r="751" spans="1:15" x14ac:dyDescent="0.35">
      <c r="A751" s="18">
        <v>74185</v>
      </c>
      <c r="B751" s="18" t="s">
        <v>592</v>
      </c>
      <c r="C751" s="14" t="s">
        <v>527</v>
      </c>
      <c r="D751" s="15">
        <v>1</v>
      </c>
      <c r="E751" s="15"/>
      <c r="F751" s="15" t="s">
        <v>61</v>
      </c>
      <c r="G751" s="15">
        <v>3074</v>
      </c>
      <c r="H751" s="15" t="s">
        <v>68</v>
      </c>
      <c r="I751" s="16">
        <v>52963</v>
      </c>
      <c r="J751" s="15">
        <v>6</v>
      </c>
      <c r="K751" s="17" t="s">
        <v>528</v>
      </c>
      <c r="M751" s="2" t="str">
        <f>"3K1I"</f>
        <v/>
      </c>
    </row>
    <row r="752" spans="1:15" x14ac:dyDescent="0.35">
      <c r="A752" s="18">
        <v>96307</v>
      </c>
      <c r="B752" s="18" t="s">
        <v>592</v>
      </c>
      <c r="C752" s="14" t="s">
        <v>529</v>
      </c>
      <c r="D752" s="15">
        <v>2</v>
      </c>
      <c r="E752" s="15"/>
      <c r="F752" s="15" t="s">
        <v>61</v>
      </c>
      <c r="G752" s="15">
        <v>5296</v>
      </c>
      <c r="H752" s="15" t="s">
        <v>68</v>
      </c>
      <c r="I752" s="16">
        <v>74185</v>
      </c>
      <c r="J752" s="15">
        <v>8</v>
      </c>
      <c r="K752" s="17" t="s">
        <v>530</v>
      </c>
      <c r="M752" s="2" t="str">
        <f>"FWDU"</f>
        <v/>
      </c>
    </row>
    <row r="753" spans="1:15" x14ac:dyDescent="0.35">
      <c r="A753" s="18">
        <v>18529</v>
      </c>
      <c r="B753" s="18" t="s">
        <v>592</v>
      </c>
      <c r="C753" s="14" t="s">
        <v>531</v>
      </c>
      <c r="D753" s="15">
        <v>4</v>
      </c>
      <c r="E753" s="15"/>
      <c r="F753" s="15" t="s">
        <v>61</v>
      </c>
      <c r="G753" s="15">
        <v>7418</v>
      </c>
      <c r="H753" s="15" t="s">
        <v>68</v>
      </c>
      <c r="I753" s="16">
        <v>96307</v>
      </c>
      <c r="J753" s="15">
        <v>1</v>
      </c>
      <c r="K753" s="17" t="s">
        <v>532</v>
      </c>
      <c r="M753" s="2" t="str">
        <f>"R8P6"</f>
        <v/>
      </c>
    </row>
    <row r="754" spans="1:15" x14ac:dyDescent="0.35">
      <c r="A754" s="18">
        <v>30741</v>
      </c>
      <c r="B754" s="18" t="s">
        <v>592</v>
      </c>
      <c r="C754" s="14" t="s">
        <v>533</v>
      </c>
      <c r="D754" s="15">
        <v>6</v>
      </c>
      <c r="E754" s="15"/>
      <c r="F754" s="15" t="s">
        <v>61</v>
      </c>
      <c r="G754" s="15">
        <v>9630</v>
      </c>
      <c r="H754" s="15" t="s">
        <v>68</v>
      </c>
      <c r="I754" s="16">
        <v>18529</v>
      </c>
      <c r="J754" s="15">
        <v>2</v>
      </c>
      <c r="K754" s="17" t="s">
        <v>534</v>
      </c>
      <c r="M754" s="2" t="str">
        <f>"3K1I"</f>
        <v/>
      </c>
    </row>
    <row r="755" spans="1:15" x14ac:dyDescent="0.35">
      <c r="A755" s="18">
        <v>52963</v>
      </c>
      <c r="B755" s="18" t="s">
        <v>592</v>
      </c>
      <c r="C755" s="14" t="s">
        <v>535</v>
      </c>
      <c r="D755" s="15">
        <v>8</v>
      </c>
      <c r="E755" s="15"/>
      <c r="F755" s="15" t="s">
        <v>61</v>
      </c>
      <c r="G755" s="15">
        <v>1852</v>
      </c>
      <c r="H755" s="15" t="s">
        <v>68</v>
      </c>
      <c r="I755" s="16">
        <v>30741</v>
      </c>
      <c r="J755" s="15">
        <v>4</v>
      </c>
      <c r="K755" s="17" t="s">
        <v>536</v>
      </c>
      <c r="M755" s="2" t="str">
        <f>"FWDU"</f>
        <v/>
      </c>
    </row>
    <row r="756" spans="1:15" x14ac:dyDescent="0.35">
      <c r="A756" s="18">
        <v>74185</v>
      </c>
      <c r="B756" s="18" t="s">
        <v>592</v>
      </c>
      <c r="C756" s="14" t="s">
        <v>537</v>
      </c>
      <c r="D756" s="15">
        <v>1</v>
      </c>
      <c r="E756" s="15"/>
      <c r="F756" s="15" t="s">
        <v>61</v>
      </c>
      <c r="G756" s="15">
        <v>3074</v>
      </c>
      <c r="H756" s="15" t="s">
        <v>68</v>
      </c>
      <c r="I756" s="16">
        <v>52963</v>
      </c>
      <c r="J756" s="15">
        <v>6</v>
      </c>
      <c r="K756" s="17" t="s">
        <v>538</v>
      </c>
      <c r="M756" s="2" t="str">
        <f>"R8P6"</f>
        <v/>
      </c>
    </row>
    <row r="757" spans="1:15" x14ac:dyDescent="0.35">
      <c r="A757" s="18">
        <v>96307</v>
      </c>
      <c r="B757" s="18" t="s">
        <v>592</v>
      </c>
      <c r="C757" s="14" t="s">
        <v>539</v>
      </c>
      <c r="D757" s="15">
        <v>2</v>
      </c>
      <c r="E757" s="15"/>
      <c r="F757" s="15" t="s">
        <v>61</v>
      </c>
      <c r="G757" s="15">
        <v>5296</v>
      </c>
      <c r="H757" s="15" t="s">
        <v>68</v>
      </c>
      <c r="I757" s="16">
        <v>74185</v>
      </c>
      <c r="J757" s="15">
        <v>8</v>
      </c>
      <c r="K757" s="17" t="s">
        <v>540</v>
      </c>
      <c r="M757" s="2" t="str">
        <f>"3K1I"</f>
        <v/>
      </c>
    </row>
    <row r="758" spans="1:15" x14ac:dyDescent="0.35">
      <c r="A758" s="18">
        <v>18529</v>
      </c>
      <c r="B758" s="18" t="s">
        <v>592</v>
      </c>
      <c r="C758" s="14" t="s">
        <v>541</v>
      </c>
      <c r="D758" s="15">
        <v>4</v>
      </c>
      <c r="E758" s="15"/>
      <c r="F758" s="15" t="s">
        <v>61</v>
      </c>
      <c r="G758" s="15">
        <v>7418</v>
      </c>
      <c r="H758" s="15" t="s">
        <v>68</v>
      </c>
      <c r="I758" s="16">
        <v>96307</v>
      </c>
      <c r="J758" s="15">
        <v>1</v>
      </c>
      <c r="K758" s="17" t="s">
        <v>542</v>
      </c>
      <c r="M758" s="2" t="str">
        <f>"FWDU"</f>
        <v/>
      </c>
    </row>
    <row r="759" spans="1:15" x14ac:dyDescent="0.35">
      <c r="A759" s="18">
        <v>30741</v>
      </c>
      <c r="B759" s="18" t="s">
        <v>592</v>
      </c>
      <c r="C759" s="14" t="s">
        <v>543</v>
      </c>
      <c r="D759" s="15">
        <v>6</v>
      </c>
      <c r="E759" s="15"/>
      <c r="F759" s="15" t="s">
        <v>61</v>
      </c>
      <c r="G759" s="15">
        <v>9630</v>
      </c>
      <c r="H759" s="15" t="s">
        <v>185</v>
      </c>
      <c r="I759" s="16">
        <v>18529</v>
      </c>
      <c r="J759" s="15">
        <v>2</v>
      </c>
      <c r="K759" s="17" t="s">
        <v>544</v>
      </c>
      <c r="L759" s="1" t="str">
        <f>"R8P6N4L2J0HYFWDUB"</f>
        <v>R8P6N4L2J0HYFWDUB</v>
      </c>
      <c r="M759" s="2" t="str">
        <f>"4L2J0HYFW"</f>
        <v>4L2J0HYFW</v>
      </c>
      <c r="N759" s="1" t="s">
        <v>102</v>
      </c>
      <c r="O759" s="1">
        <v>74</v>
      </c>
    </row>
    <row r="760" spans="1:15" x14ac:dyDescent="0.35">
      <c r="A760" s="18">
        <v>85296</v>
      </c>
      <c r="B760" s="18" t="s">
        <v>592</v>
      </c>
      <c r="C760" s="14" t="s">
        <v>545</v>
      </c>
      <c r="D760" s="15">
        <v>1</v>
      </c>
      <c r="E760" s="15"/>
      <c r="F760" s="15" t="s">
        <v>61</v>
      </c>
      <c r="G760" s="15">
        <v>4185</v>
      </c>
      <c r="H760" s="15" t="s">
        <v>68</v>
      </c>
      <c r="I760" s="16">
        <v>63074</v>
      </c>
      <c r="J760" s="15">
        <v>7</v>
      </c>
      <c r="K760" s="17" t="s">
        <v>546</v>
      </c>
      <c r="M760" s="2" t="str">
        <f>"6N4L"</f>
        <v/>
      </c>
    </row>
    <row r="761" spans="1:15" x14ac:dyDescent="0.35">
      <c r="A761" s="18">
        <v>17418</v>
      </c>
      <c r="B761" s="18" t="s">
        <v>592</v>
      </c>
      <c r="C761" s="14" t="s">
        <v>547</v>
      </c>
      <c r="D761" s="15">
        <v>3</v>
      </c>
      <c r="E761" s="15"/>
      <c r="F761" s="15" t="s">
        <v>61</v>
      </c>
      <c r="G761" s="15">
        <v>6307</v>
      </c>
      <c r="H761" s="15" t="s">
        <v>68</v>
      </c>
      <c r="I761" s="16">
        <v>85296</v>
      </c>
      <c r="J761" s="15">
        <v>9</v>
      </c>
      <c r="K761" s="17" t="s">
        <v>548</v>
      </c>
      <c r="M761" s="2" t="str">
        <f>"IZGX"</f>
        <v/>
      </c>
    </row>
    <row r="762" spans="1:15" x14ac:dyDescent="0.35">
      <c r="A762" s="18">
        <v>29630</v>
      </c>
      <c r="B762" s="18" t="s">
        <v>592</v>
      </c>
      <c r="C762" s="14" t="s">
        <v>549</v>
      </c>
      <c r="D762" s="15">
        <v>5</v>
      </c>
      <c r="E762" s="15"/>
      <c r="F762" s="15" t="s">
        <v>61</v>
      </c>
      <c r="G762" s="15">
        <v>8529</v>
      </c>
      <c r="H762" s="15" t="s">
        <v>68</v>
      </c>
      <c r="I762" s="16">
        <v>17418</v>
      </c>
      <c r="J762" s="15">
        <v>1</v>
      </c>
      <c r="K762" s="17" t="s">
        <v>550</v>
      </c>
      <c r="M762" s="2" t="str">
        <f>"UBS9"</f>
        <v/>
      </c>
    </row>
    <row r="763" spans="1:15" x14ac:dyDescent="0.35">
      <c r="A763" s="18">
        <v>41852</v>
      </c>
      <c r="B763" s="18" t="s">
        <v>592</v>
      </c>
      <c r="C763" s="14" t="s">
        <v>551</v>
      </c>
      <c r="D763" s="15">
        <v>7</v>
      </c>
      <c r="E763" s="15"/>
      <c r="F763" s="15" t="s">
        <v>61</v>
      </c>
      <c r="G763" s="15">
        <v>1741</v>
      </c>
      <c r="H763" s="15" t="s">
        <v>68</v>
      </c>
      <c r="I763" s="16">
        <v>29630</v>
      </c>
      <c r="J763" s="15">
        <v>3</v>
      </c>
      <c r="K763" s="17" t="s">
        <v>552</v>
      </c>
      <c r="L763" s="1" t="s">
        <v>553</v>
      </c>
      <c r="M763" s="2" t="str">
        <f>"J0HY"</f>
        <v/>
      </c>
    </row>
    <row r="764" spans="1:15" x14ac:dyDescent="0.35">
      <c r="A764" s="18">
        <v>74185</v>
      </c>
      <c r="B764" s="18" t="s">
        <v>592</v>
      </c>
      <c r="C764" s="14" t="s">
        <v>554</v>
      </c>
      <c r="D764" s="15">
        <v>1</v>
      </c>
      <c r="E764" s="15"/>
      <c r="F764" s="15" t="s">
        <v>61</v>
      </c>
      <c r="G764" s="15">
        <v>3074</v>
      </c>
      <c r="H764" s="15" t="s">
        <v>68</v>
      </c>
      <c r="I764" s="16">
        <v>52963</v>
      </c>
      <c r="J764" s="15">
        <v>6</v>
      </c>
      <c r="K764" s="17" t="s">
        <v>555</v>
      </c>
      <c r="L764" s="1" t="s">
        <v>553</v>
      </c>
      <c r="M764" s="2" t="str">
        <f>"8P6N"</f>
        <v/>
      </c>
    </row>
    <row r="765" spans="1:15" x14ac:dyDescent="0.35">
      <c r="A765" s="13" t="s">
        <v>556</v>
      </c>
      <c r="B765" s="18" t="s">
        <v>592</v>
      </c>
      <c r="C765" s="14" t="s">
        <v>557</v>
      </c>
      <c r="D765" s="15">
        <v>3</v>
      </c>
      <c r="E765" s="15">
        <v>4185</v>
      </c>
      <c r="F765" s="15" t="s">
        <v>61</v>
      </c>
      <c r="G765" s="15"/>
      <c r="H765" s="15"/>
      <c r="I765" s="16"/>
      <c r="J765" s="15"/>
      <c r="K765" s="17" t="s">
        <v>558</v>
      </c>
    </row>
    <row r="766" spans="1:15" x14ac:dyDescent="0.35">
      <c r="A766" s="13" t="s">
        <v>559</v>
      </c>
      <c r="B766" s="18" t="s">
        <v>592</v>
      </c>
      <c r="C766" s="14" t="s">
        <v>560</v>
      </c>
      <c r="D766" s="15">
        <v>4</v>
      </c>
      <c r="E766" s="15"/>
      <c r="F766" s="15" t="s">
        <v>61</v>
      </c>
      <c r="G766" s="15"/>
      <c r="H766" s="15"/>
      <c r="I766" s="16"/>
      <c r="J766" s="15"/>
      <c r="K766" s="17" t="s">
        <v>561</v>
      </c>
    </row>
    <row r="767" spans="1:15" x14ac:dyDescent="0.35">
      <c r="A767" s="19" t="s">
        <v>562</v>
      </c>
      <c r="B767" s="18" t="s">
        <v>592</v>
      </c>
      <c r="C767" s="20" t="s">
        <v>563</v>
      </c>
      <c r="D767" s="21">
        <v>5</v>
      </c>
      <c r="E767" s="21"/>
      <c r="F767" s="21" t="s">
        <v>61</v>
      </c>
      <c r="G767" s="21"/>
      <c r="H767" s="21"/>
      <c r="I767" s="16"/>
      <c r="J767" s="21"/>
      <c r="K767" s="17" t="s">
        <v>564</v>
      </c>
    </row>
    <row r="768" spans="1:15" x14ac:dyDescent="0.35">
      <c r="A768" s="13" t="s">
        <v>565</v>
      </c>
      <c r="B768" s="18" t="s">
        <v>592</v>
      </c>
      <c r="C768" s="14" t="s">
        <v>566</v>
      </c>
      <c r="D768" s="15">
        <v>6</v>
      </c>
      <c r="E768" s="15"/>
      <c r="F768" s="15" t="s">
        <v>61</v>
      </c>
      <c r="G768" s="15"/>
      <c r="H768" s="15"/>
      <c r="I768" s="16"/>
      <c r="J768" s="15">
        <v>2</v>
      </c>
      <c r="K768" s="17" t="s">
        <v>567</v>
      </c>
    </row>
    <row r="769" spans="1:11" x14ac:dyDescent="0.35">
      <c r="A769" s="15">
        <v>41852</v>
      </c>
      <c r="B769" s="18" t="s">
        <v>592</v>
      </c>
      <c r="C769" s="22" t="s">
        <v>568</v>
      </c>
      <c r="D769" s="15">
        <v>7</v>
      </c>
      <c r="E769" s="21"/>
      <c r="F769" s="21" t="s">
        <v>61</v>
      </c>
      <c r="G769" s="15"/>
      <c r="H769" s="15"/>
      <c r="I769" s="15"/>
      <c r="J769" s="15"/>
      <c r="K769" s="17" t="s">
        <v>569</v>
      </c>
    </row>
    <row r="770" spans="1:11" x14ac:dyDescent="0.35">
      <c r="A770" s="15">
        <v>52963</v>
      </c>
      <c r="B770" s="18" t="s">
        <v>592</v>
      </c>
      <c r="C770" s="15" t="s">
        <v>570</v>
      </c>
      <c r="D770" s="15">
        <v>8</v>
      </c>
      <c r="E770" s="21">
        <v>963074</v>
      </c>
      <c r="F770" s="21" t="s">
        <v>61</v>
      </c>
      <c r="G770" s="15"/>
      <c r="H770" s="15"/>
      <c r="I770" s="15"/>
      <c r="J770" s="15"/>
      <c r="K770" s="17" t="s">
        <v>571</v>
      </c>
    </row>
    <row r="771" spans="1:11" x14ac:dyDescent="0.35">
      <c r="A771" s="15">
        <v>63074</v>
      </c>
      <c r="B771" s="18" t="s">
        <v>592</v>
      </c>
      <c r="C771" s="22" t="s">
        <v>572</v>
      </c>
      <c r="D771" s="15">
        <v>9</v>
      </c>
      <c r="E771" s="21">
        <v>174185</v>
      </c>
      <c r="F771" s="21" t="s">
        <v>61</v>
      </c>
      <c r="G771" s="15"/>
      <c r="H771" s="15"/>
      <c r="I771" s="15"/>
      <c r="J771" s="15"/>
      <c r="K771" s="17" t="s">
        <v>571</v>
      </c>
    </row>
    <row r="772" spans="1:11" x14ac:dyDescent="0.35">
      <c r="A772" s="15">
        <v>74185</v>
      </c>
      <c r="B772" s="18" t="s">
        <v>592</v>
      </c>
      <c r="C772" s="22" t="s">
        <v>573</v>
      </c>
      <c r="D772" s="15">
        <v>1</v>
      </c>
      <c r="E772" s="21">
        <v>185296</v>
      </c>
      <c r="F772" s="21" t="s">
        <v>61</v>
      </c>
      <c r="G772" s="15"/>
      <c r="H772" s="15"/>
      <c r="I772" s="15"/>
      <c r="J772" s="15"/>
      <c r="K772" s="17" t="s">
        <v>571</v>
      </c>
    </row>
    <row r="773" spans="1:11" x14ac:dyDescent="0.35">
      <c r="A773" s="15">
        <v>85296</v>
      </c>
      <c r="B773" s="18" t="s">
        <v>592</v>
      </c>
      <c r="C773" s="22" t="s">
        <v>574</v>
      </c>
      <c r="D773" s="15">
        <v>1</v>
      </c>
      <c r="E773" s="21">
        <v>296307</v>
      </c>
      <c r="F773" s="21" t="s">
        <v>61</v>
      </c>
      <c r="G773" s="15"/>
      <c r="H773" s="15"/>
      <c r="I773" s="15"/>
      <c r="J773" s="15"/>
      <c r="K773" s="17" t="s">
        <v>571</v>
      </c>
    </row>
    <row r="774" spans="1:11" x14ac:dyDescent="0.35">
      <c r="A774" s="15">
        <v>96307</v>
      </c>
      <c r="B774" s="18" t="s">
        <v>592</v>
      </c>
      <c r="C774" s="22" t="s">
        <v>575</v>
      </c>
      <c r="D774" s="15">
        <v>2</v>
      </c>
      <c r="E774" s="21">
        <v>307418</v>
      </c>
      <c r="F774" s="21" t="s">
        <v>61</v>
      </c>
      <c r="G774" s="15"/>
      <c r="H774" s="15"/>
      <c r="I774" s="15"/>
      <c r="J774" s="15"/>
      <c r="K774" s="17" t="s">
        <v>571</v>
      </c>
    </row>
    <row r="775" spans="1:11" x14ac:dyDescent="0.35">
      <c r="A775" s="15">
        <v>17418</v>
      </c>
      <c r="B775" s="18" t="s">
        <v>592</v>
      </c>
      <c r="C775" s="22" t="s">
        <v>576</v>
      </c>
      <c r="D775" s="15">
        <v>3</v>
      </c>
      <c r="E775" s="21">
        <v>418529</v>
      </c>
      <c r="F775" s="21" t="s">
        <v>61</v>
      </c>
      <c r="G775" s="15"/>
      <c r="H775" s="15"/>
      <c r="I775" s="15"/>
      <c r="J775" s="15"/>
      <c r="K775" s="17" t="s">
        <v>571</v>
      </c>
    </row>
    <row r="776" spans="1:11" x14ac:dyDescent="0.35">
      <c r="A776" s="15">
        <v>18529</v>
      </c>
      <c r="B776" s="18" t="s">
        <v>592</v>
      </c>
      <c r="C776" s="22" t="s">
        <v>577</v>
      </c>
      <c r="D776" s="15">
        <v>4</v>
      </c>
      <c r="E776" s="21">
        <v>529630</v>
      </c>
      <c r="F776" s="21" t="s">
        <v>61</v>
      </c>
      <c r="G776" s="15"/>
      <c r="H776" s="15"/>
      <c r="I776" s="15"/>
      <c r="J776" s="15"/>
      <c r="K776" s="17" t="s">
        <v>571</v>
      </c>
    </row>
    <row r="777" spans="1:11" x14ac:dyDescent="0.35">
      <c r="A777" s="15">
        <v>29630</v>
      </c>
      <c r="B777" s="18" t="s">
        <v>592</v>
      </c>
      <c r="C777" s="22" t="s">
        <v>578</v>
      </c>
      <c r="D777" s="15">
        <v>5</v>
      </c>
      <c r="E777" s="21">
        <v>6307</v>
      </c>
      <c r="F777" s="21" t="s">
        <v>61</v>
      </c>
      <c r="G777" s="15"/>
      <c r="H777" s="15"/>
      <c r="I777" s="15"/>
      <c r="J777" s="15"/>
      <c r="K777" s="17" t="s">
        <v>571</v>
      </c>
    </row>
    <row r="778" spans="1:11" x14ac:dyDescent="0.35">
      <c r="A778" s="15">
        <v>30741</v>
      </c>
      <c r="B778" s="18" t="s">
        <v>592</v>
      </c>
      <c r="C778" s="22" t="s">
        <v>579</v>
      </c>
      <c r="D778" s="15">
        <v>6</v>
      </c>
      <c r="E778" s="21">
        <v>7418</v>
      </c>
      <c r="F778" s="21" t="s">
        <v>61</v>
      </c>
      <c r="G778" s="15"/>
      <c r="H778" s="15"/>
      <c r="I778" s="15"/>
      <c r="J778" s="15"/>
      <c r="K778" s="17" t="s">
        <v>571</v>
      </c>
    </row>
    <row r="779" spans="1:11" x14ac:dyDescent="0.35">
      <c r="A779" s="15">
        <v>41852</v>
      </c>
      <c r="B779" s="18" t="s">
        <v>592</v>
      </c>
      <c r="C779" s="22" t="s">
        <v>580</v>
      </c>
      <c r="D779" s="15">
        <v>7</v>
      </c>
      <c r="E779" s="21">
        <v>8529</v>
      </c>
      <c r="F779" s="21" t="s">
        <v>61</v>
      </c>
      <c r="G779" s="15"/>
      <c r="H779" s="15"/>
      <c r="I779" s="15"/>
      <c r="J779" s="15"/>
      <c r="K779" s="17" t="s">
        <v>571</v>
      </c>
    </row>
    <row r="780" spans="1:11" x14ac:dyDescent="0.35">
      <c r="A780" s="15">
        <v>52963</v>
      </c>
      <c r="B780" s="18" t="s">
        <v>592</v>
      </c>
      <c r="C780" s="22" t="s">
        <v>581</v>
      </c>
      <c r="D780" s="15">
        <v>8</v>
      </c>
      <c r="E780" s="21">
        <v>9630</v>
      </c>
      <c r="F780" s="21" t="s">
        <v>61</v>
      </c>
      <c r="G780" s="15"/>
      <c r="H780" s="15"/>
      <c r="I780" s="15"/>
      <c r="J780" s="15"/>
      <c r="K780" s="17" t="s">
        <v>571</v>
      </c>
    </row>
    <row r="781" spans="1:11" x14ac:dyDescent="0.35">
      <c r="A781" s="15">
        <v>63074</v>
      </c>
      <c r="B781" s="18" t="s">
        <v>592</v>
      </c>
      <c r="C781" s="22" t="s">
        <v>582</v>
      </c>
      <c r="D781" s="15">
        <v>9</v>
      </c>
      <c r="E781" s="21">
        <v>1741</v>
      </c>
      <c r="F781" s="21" t="s">
        <v>61</v>
      </c>
      <c r="G781" s="15"/>
      <c r="H781" s="15"/>
      <c r="I781" s="15"/>
      <c r="J781" s="15"/>
      <c r="K781" s="17" t="s">
        <v>571</v>
      </c>
    </row>
    <row r="782" spans="1:11" x14ac:dyDescent="0.35">
      <c r="A782" s="15">
        <v>74185</v>
      </c>
      <c r="B782" s="18" t="s">
        <v>592</v>
      </c>
      <c r="C782" s="22" t="s">
        <v>583</v>
      </c>
      <c r="D782" s="15">
        <v>1</v>
      </c>
      <c r="E782" s="21">
        <v>1852</v>
      </c>
      <c r="F782" s="21" t="s">
        <v>61</v>
      </c>
      <c r="G782" s="15"/>
      <c r="H782" s="15"/>
      <c r="I782" s="15"/>
      <c r="J782" s="15"/>
      <c r="K782" s="17" t="s">
        <v>571</v>
      </c>
    </row>
    <row r="783" spans="1:11" x14ac:dyDescent="0.35">
      <c r="A783" s="15">
        <v>85296</v>
      </c>
      <c r="B783" s="18" t="s">
        <v>592</v>
      </c>
      <c r="C783" s="22" t="s">
        <v>584</v>
      </c>
      <c r="D783" s="15">
        <v>1</v>
      </c>
      <c r="E783" s="21">
        <v>2963</v>
      </c>
      <c r="F783" s="21" t="s">
        <v>61</v>
      </c>
      <c r="G783" s="15"/>
      <c r="H783" s="15"/>
      <c r="I783" s="15"/>
      <c r="J783" s="15"/>
      <c r="K783" s="17" t="s">
        <v>571</v>
      </c>
    </row>
  </sheetData>
  <autoFilter ref="M1:M523" xr:uid="{00000000-0009-0000-0000-000000000000}"/>
  <phoneticPr fontId="9" type="noConversion"/>
  <conditionalFormatting sqref="O47 O49">
    <cfRule type="duplicateValues" dxfId="27" priority="31"/>
  </conditionalFormatting>
  <conditionalFormatting sqref="O50:O51">
    <cfRule type="duplicateValues" dxfId="26" priority="29"/>
  </conditionalFormatting>
  <conditionalFormatting sqref="O64">
    <cfRule type="duplicateValues" dxfId="25" priority="30"/>
  </conditionalFormatting>
  <conditionalFormatting sqref="O222:O223">
    <cfRule type="duplicateValues" dxfId="24" priority="28"/>
  </conditionalFormatting>
  <conditionalFormatting sqref="O320">
    <cfRule type="duplicateValues" dxfId="23" priority="22"/>
  </conditionalFormatting>
  <conditionalFormatting sqref="O341">
    <cfRule type="duplicateValues" dxfId="22" priority="21"/>
  </conditionalFormatting>
  <conditionalFormatting sqref="O344">
    <cfRule type="duplicateValues" dxfId="21" priority="17"/>
  </conditionalFormatting>
  <conditionalFormatting sqref="O360">
    <cfRule type="duplicateValues" dxfId="20" priority="16"/>
  </conditionalFormatting>
  <conditionalFormatting sqref="O363">
    <cfRule type="duplicateValues" dxfId="19" priority="20"/>
  </conditionalFormatting>
  <conditionalFormatting sqref="O387">
    <cfRule type="duplicateValues" dxfId="18" priority="19"/>
  </conditionalFormatting>
  <conditionalFormatting sqref="O388">
    <cfRule type="duplicateValues" dxfId="17" priority="15"/>
  </conditionalFormatting>
  <conditionalFormatting sqref="O391">
    <cfRule type="duplicateValues" dxfId="16" priority="14"/>
  </conditionalFormatting>
  <conditionalFormatting sqref="O401">
    <cfRule type="duplicateValues" dxfId="15" priority="18"/>
  </conditionalFormatting>
  <conditionalFormatting sqref="O402">
    <cfRule type="duplicateValues" dxfId="14" priority="13"/>
  </conditionalFormatting>
  <conditionalFormatting sqref="O407">
    <cfRule type="duplicateValues" dxfId="13" priority="12"/>
  </conditionalFormatting>
  <conditionalFormatting sqref="O411">
    <cfRule type="duplicateValues" dxfId="12" priority="11"/>
  </conditionalFormatting>
  <conditionalFormatting sqref="O414">
    <cfRule type="duplicateValues" dxfId="11" priority="9"/>
  </conditionalFormatting>
  <conditionalFormatting sqref="O482">
    <cfRule type="duplicateValues" dxfId="10" priority="24"/>
  </conditionalFormatting>
  <conditionalFormatting sqref="O483">
    <cfRule type="duplicateValues" dxfId="9" priority="10"/>
  </conditionalFormatting>
  <conditionalFormatting sqref="Q1:Q375 Q377:Q1048576">
    <cfRule type="duplicateValues" dxfId="8" priority="23"/>
  </conditionalFormatting>
  <conditionalFormatting sqref="O560 O562">
    <cfRule type="duplicateValues" dxfId="3" priority="4"/>
  </conditionalFormatting>
  <conditionalFormatting sqref="O563:O564">
    <cfRule type="duplicateValues" dxfId="2" priority="2"/>
  </conditionalFormatting>
  <conditionalFormatting sqref="O577">
    <cfRule type="duplicateValues" dxfId="1" priority="3"/>
  </conditionalFormatting>
  <conditionalFormatting sqref="O735:O736">
    <cfRule type="duplicateValues" dxfId="0" priority="1"/>
  </conditionalFormatting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event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xlsx-ts</dc:creator>
  <cp:lastModifiedBy>xlsx-ts</cp:lastModifiedBy>
  <dcterms:created xsi:type="dcterms:W3CDTF">2015-06-05T18:19:00Z</dcterms:created>
  <dcterms:modified xsi:type="dcterms:W3CDTF">2026-03-28T07:20:15Z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AR8P6N4L2J0HYFWDUBS9Q7O5M3K1IZGX</vt:lpwstr>
  </property>
  <property fmtid="{D5CDD505-2E9C-101B-9397-08002B2CF9AE}" pid="3" name="KSOProductBuildVer">
    <vt:lpwstr>N4L2J0HYFWDUBS9Q7</vt:lpwstr>
  </property>
  <property fmtid="{D5CDD505-2E9C-101B-9397-08002B2CF9AE}" pid="4" name="KSOReadingLayout">
    <vt:bool>false</vt:bool>
  </property>
  <property fmtid="{D5CDD505-2E9C-101B-9397-08002B2CF9AE}" pid="5" name="CalculationRule">
    <vt:i4>3</vt:i4>
  </property>
</Properties>
</file>